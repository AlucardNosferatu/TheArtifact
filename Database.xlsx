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180" activeTab="3"/>
  </bookViews>
  <sheets>
    <sheet name="Sheet1" sheetId="1" r:id="rId1"/>
    <sheet name="Sheet2" sheetId="4" r:id="rId2"/>
    <sheet name="Sheet3" sheetId="5" r:id="rId3"/>
    <sheet name="Sheet4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<sst xmlns="http://schemas.openxmlformats.org/spreadsheetml/2006/main" count="438" uniqueCount="243">
  <si>
    <t>吊舱</t>
  </si>
  <si>
    <t>机翼</t>
  </si>
  <si>
    <t>引擎</t>
  </si>
  <si>
    <t>小装备</t>
  </si>
  <si>
    <t>中装备</t>
  </si>
  <si>
    <t>大装备</t>
  </si>
  <si>
    <t>电子载荷</t>
  </si>
  <si>
    <t>雷达干扰机</t>
  </si>
  <si>
    <t>敌我识别系统</t>
  </si>
  <si>
    <t>频谱分析仪</t>
  </si>
  <si>
    <t>机载指挥系统</t>
  </si>
  <si>
    <t>红外干扰机</t>
  </si>
  <si>
    <t>激光通信系统</t>
  </si>
  <si>
    <t>自动解码器</t>
  </si>
  <si>
    <t>战术人工智能</t>
  </si>
  <si>
    <t>综合干扰机</t>
  </si>
  <si>
    <t>数据链路终端</t>
  </si>
  <si>
    <t>高性能主机</t>
  </si>
  <si>
    <t>卫星上行链路</t>
  </si>
  <si>
    <t>液体载荷</t>
  </si>
  <si>
    <t>副油箱</t>
  </si>
  <si>
    <t>优质润滑油</t>
  </si>
  <si>
    <t>自封闭液压油</t>
  </si>
  <si>
    <t>空中给油器</t>
  </si>
  <si>
    <t>水桶</t>
  </si>
  <si>
    <t>除锈清洁剂</t>
  </si>
  <si>
    <t>助燃催化剂</t>
  </si>
  <si>
    <t>光固聚合胶</t>
  </si>
  <si>
    <t>双氧水罐</t>
  </si>
  <si>
    <t>电路冷却液</t>
  </si>
  <si>
    <t>隐形涂料</t>
  </si>
  <si>
    <t>高能电解液</t>
  </si>
  <si>
    <t>结构载荷</t>
  </si>
  <si>
    <t>平直翼</t>
  </si>
  <si>
    <t>翼刀</t>
  </si>
  <si>
    <t>尾撑</t>
  </si>
  <si>
    <t>梢帆</t>
  </si>
  <si>
    <t>三角翼</t>
  </si>
  <si>
    <t>修形体</t>
  </si>
  <si>
    <t>升力体</t>
  </si>
  <si>
    <t>乘波体</t>
  </si>
  <si>
    <t>后掠翼</t>
  </si>
  <si>
    <t>前缘缝翼</t>
  </si>
  <si>
    <t>翼尖切尖</t>
  </si>
  <si>
    <t>翼上引擎</t>
  </si>
  <si>
    <t>双三角翼</t>
  </si>
  <si>
    <t>可变后掠翼</t>
  </si>
  <si>
    <t>边条翼</t>
  </si>
  <si>
    <t>拉姆达翼</t>
  </si>
  <si>
    <t>前掠翼</t>
  </si>
  <si>
    <t>机械载荷</t>
  </si>
  <si>
    <t>涵道风扇</t>
  </si>
  <si>
    <t>鸭翼</t>
  </si>
  <si>
    <t>矢量喷口</t>
  </si>
  <si>
    <t>机库</t>
  </si>
  <si>
    <t>脉冲喷气引擎</t>
  </si>
  <si>
    <t>进气锥</t>
  </si>
  <si>
    <t>吹气襟翼</t>
  </si>
  <si>
    <t>螺旋桨</t>
  </si>
  <si>
    <t>离心涡喷引擎</t>
  </si>
  <si>
    <t>可变边条</t>
  </si>
  <si>
    <t>升力风扇</t>
  </si>
  <si>
    <t>反推装置</t>
  </si>
  <si>
    <t>轴流涡喷引擎</t>
  </si>
  <si>
    <t>涡轮风扇引擎</t>
  </si>
  <si>
    <t>冲压引擎</t>
  </si>
  <si>
    <t>涡喷冲压引擎</t>
  </si>
  <si>
    <t>涡扇冲压引擎</t>
  </si>
  <si>
    <t>雷达1</t>
  </si>
  <si>
    <t>雷达2</t>
  </si>
  <si>
    <t>光电1</t>
  </si>
  <si>
    <t>光电2</t>
  </si>
  <si>
    <t>对地炸弹</t>
  </si>
  <si>
    <t>对空导弹</t>
  </si>
  <si>
    <t>通讯天线</t>
  </si>
  <si>
    <t>红外警告器</t>
  </si>
  <si>
    <t>炸弹</t>
  </si>
  <si>
    <t>火箭</t>
  </si>
  <si>
    <t>脉冲测速雷达</t>
  </si>
  <si>
    <t>红外测向仪</t>
  </si>
  <si>
    <t>电视制导炸弹</t>
  </si>
  <si>
    <t>无线电导弹</t>
  </si>
  <si>
    <t>多普勒 FCR</t>
  </si>
  <si>
    <t>多普勒 EWR</t>
  </si>
  <si>
    <t>第一代IRST</t>
  </si>
  <si>
    <t>航拍摄像机</t>
  </si>
  <si>
    <t>激光制导炸弹</t>
  </si>
  <si>
    <t>红外制导炸弹</t>
  </si>
  <si>
    <t>驾束制导导弹</t>
  </si>
  <si>
    <t>红外格斗导弹</t>
  </si>
  <si>
    <t>PESA FCR</t>
  </si>
  <si>
    <t>PESA EWR</t>
  </si>
  <si>
    <t>焦成像IRST</t>
  </si>
  <si>
    <t>激光测距仪</t>
  </si>
  <si>
    <t>卫星制导炸弹</t>
  </si>
  <si>
    <t>滑翔制导炸弹</t>
  </si>
  <si>
    <t>雷达制导导弹</t>
  </si>
  <si>
    <t>混合制导导弹</t>
  </si>
  <si>
    <t>AESA FCR</t>
  </si>
  <si>
    <t>AESA EWR</t>
  </si>
  <si>
    <t>复合式IRST</t>
  </si>
  <si>
    <t>卫星导航台</t>
  </si>
  <si>
    <t>钻地制导炸弹</t>
  </si>
  <si>
    <t>隐身空空导弹</t>
  </si>
  <si>
    <t>量子 FCR</t>
  </si>
  <si>
    <t>米波 EWR</t>
  </si>
  <si>
    <t>长波式IRST</t>
  </si>
  <si>
    <t>光电瞄准镜</t>
  </si>
  <si>
    <t>对地导弹</t>
  </si>
  <si>
    <t>特殊武器</t>
  </si>
  <si>
    <t>末敏弹</t>
  </si>
  <si>
    <t>核炸弹</t>
  </si>
  <si>
    <t>巡航导弹</t>
  </si>
  <si>
    <t>核火箭弹</t>
  </si>
  <si>
    <t>反辐射导弹</t>
  </si>
  <si>
    <t>自杀式无人机</t>
  </si>
  <si>
    <t>核巡飞弹</t>
  </si>
  <si>
    <t>EMP炸弹</t>
  </si>
  <si>
    <t>空射弹道导弹</t>
  </si>
  <si>
    <t>攻击型无人机</t>
  </si>
  <si>
    <t>核弹道导弹</t>
  </si>
  <si>
    <t>EMP火箭弹</t>
  </si>
  <si>
    <t>轰炸型无人机</t>
  </si>
  <si>
    <t>EMP巡飞弹</t>
  </si>
  <si>
    <t>价格</t>
  </si>
  <si>
    <t>基准伤害系数</t>
  </si>
  <si>
    <t>公式</t>
  </si>
  <si>
    <t>对地</t>
  </si>
  <si>
    <t>高伤害=1.2</t>
  </si>
  <si>
    <t>Math.max(((1.2 * a.atk) - (0.5 * b.def) - (0.5 * b.agi)), 20)</t>
  </si>
  <si>
    <t>低破防=1.2</t>
  </si>
  <si>
    <t>Math.max(((1.2 * a.atk) - (0.5 * b.def) - (0.5 * b.agi)), 20) * 1.1</t>
  </si>
  <si>
    <t>低战术敏感</t>
  </si>
  <si>
    <t>Math.max(((1.2 * a.atk) - (0.5 * b.def) - (0.5 * b.agi)), 20) * 1.2</t>
  </si>
  <si>
    <t>Math.max(((1.2 * a.atk) - (0.5 * b.def) - (0.5 * b.agi)), 20) * 1.3</t>
  </si>
  <si>
    <t>最便宜</t>
  </si>
  <si>
    <t>10G</t>
  </si>
  <si>
    <t>Math.max(((1.2 * a.atk) - (0.5 * b.def) - (0.5 * b.agi)), 20) * 1.4</t>
  </si>
  <si>
    <t>对空</t>
  </si>
  <si>
    <t>低伤害=0.8</t>
  </si>
  <si>
    <t>Math.max((a.atk - (0.8 * ((0.75 * b.def) + (0.25 * b.agi)))), 10)</t>
  </si>
  <si>
    <t>高破防=0.8</t>
  </si>
  <si>
    <t>Math.max((a.atk - (0.8 * ((0.75 * b.def) + (0.25 * b.agi)))), 10) * 1.1</t>
  </si>
  <si>
    <t>Math.max((a.atk - (0.8 * ((0.75 * b.def) + (0.25 * b.agi)))), 10) * 1.2</t>
  </si>
  <si>
    <t>Math.max((a.atk - (0.8 * ((0.75 * b.def) + (0.25 * b.agi)))), 10) * 1.3</t>
  </si>
  <si>
    <t>Math.max((a.atk - (0.8 * ((0.75 * b.def) + (0.25 * b.agi)))), 10) * 1.4</t>
  </si>
  <si>
    <t>通用</t>
  </si>
  <si>
    <t>中伤害=1.0</t>
  </si>
  <si>
    <t>Math.max((0.75 * b.atk + 0.25 * a.atk - b.def), 15)</t>
  </si>
  <si>
    <t>中破防=1.0</t>
  </si>
  <si>
    <t>Math.max((a.atk - b.def), 15) * 1.1</t>
  </si>
  <si>
    <t>高战术敏感</t>
  </si>
  <si>
    <t>Math.max((0.75 * b.atk + 0.25 * a.atk - b.def), 15) * 1.2</t>
  </si>
  <si>
    <t>Math.max((a.atk - b.def), 15) * 1.3</t>
  </si>
  <si>
    <t>中等价格</t>
  </si>
  <si>
    <t>Math.max((a.atk - b.def), 15) * 1.2</t>
  </si>
  <si>
    <t>20G</t>
  </si>
  <si>
    <t>Math.max((a.atk - b.def), 15) * 1.4</t>
  </si>
  <si>
    <t>特殊</t>
  </si>
  <si>
    <t>Math.max(100 * ((1.2 * a.atk) - (0.8 * ((0.25 * b.def) + (0.75 * b.agi)))), 100)</t>
  </si>
  <si>
    <t>Math.max(110 * ((1.2 * a.atk) - (0.8 * b.def)), 110)</t>
  </si>
  <si>
    <t>Math.max(120 * ((1.2 * a.atk) - (0.8 * b.def)), 120)</t>
  </si>
  <si>
    <t>Math.max(130 * ((1.2 * a.atk) - (0.8 * b.def)), 130)</t>
  </si>
  <si>
    <t>天价</t>
  </si>
  <si>
    <t>Math.max(((1.2 * ((0.75 * b.luk) + (0.25 * a.atk))) - (0.8 * ((0.25 * b.def) + (0.75 * b.agi)))), 15) * 1.2</t>
  </si>
  <si>
    <t>40G</t>
  </si>
  <si>
    <t>Math.max(((1.2 * ((0.75 * b.luk) + (0.25 * a.atk))) - (0.8 * b.def)), 15) * 1.3</t>
  </si>
  <si>
    <t>Math.max(((1.2 * ((0.75 * b.luk) + (0.25 * a.atk))) - (0.8 * b.def)), 15) * 1.4</t>
  </si>
  <si>
    <t>追踪</t>
  </si>
  <si>
    <t>回避</t>
  </si>
  <si>
    <t>战术</t>
  </si>
  <si>
    <t>反制</t>
  </si>
  <si>
    <t>极速</t>
  </si>
  <si>
    <t>可靠</t>
  </si>
  <si>
    <t>最大态势</t>
  </si>
  <si>
    <t>最大机会</t>
  </si>
  <si>
    <t>索敌</t>
  </si>
  <si>
    <t>匿踪</t>
  </si>
  <si>
    <t>超燃冲压引擎</t>
  </si>
  <si>
    <t>HP</t>
  </si>
  <si>
    <t>ATK</t>
  </si>
  <si>
    <t>DEF</t>
  </si>
  <si>
    <t>MATK</t>
  </si>
  <si>
    <t>MDEF</t>
  </si>
  <si>
    <t>AGI</t>
  </si>
  <si>
    <t>LUK</t>
  </si>
  <si>
    <t>Lv1</t>
  </si>
  <si>
    <t>下限</t>
  </si>
  <si>
    <t>战斗机</t>
  </si>
  <si>
    <t>F-80</t>
  </si>
  <si>
    <t>上限</t>
  </si>
  <si>
    <t>攻击机</t>
  </si>
  <si>
    <t>F-9F</t>
  </si>
  <si>
    <t>区间</t>
  </si>
  <si>
    <t>Lv2</t>
  </si>
  <si>
    <t>分5段</t>
  </si>
  <si>
    <t>F-86</t>
  </si>
  <si>
    <t>1级</t>
  </si>
  <si>
    <t>F-2H</t>
  </si>
  <si>
    <t>2级</t>
  </si>
  <si>
    <t>Lv3</t>
  </si>
  <si>
    <t>3级</t>
  </si>
  <si>
    <t>F-104</t>
  </si>
  <si>
    <t>4级</t>
  </si>
  <si>
    <t>A-4</t>
  </si>
  <si>
    <t>5级</t>
  </si>
  <si>
    <t>拦截机</t>
  </si>
  <si>
    <t>F-106</t>
  </si>
  <si>
    <t>6级</t>
  </si>
  <si>
    <t>侦察机</t>
  </si>
  <si>
    <t>RF-84</t>
  </si>
  <si>
    <t>预警机</t>
  </si>
  <si>
    <t>轰炸机</t>
  </si>
  <si>
    <t>电战机</t>
  </si>
  <si>
    <t>隐战机</t>
  </si>
  <si>
    <t>lv4</t>
  </si>
  <si>
    <t>强化ATK</t>
  </si>
  <si>
    <t>强化DEF</t>
  </si>
  <si>
    <t>NA</t>
  </si>
  <si>
    <t>F-5</t>
  </si>
  <si>
    <t>A-7</t>
  </si>
  <si>
    <t>ATK+AGI</t>
  </si>
  <si>
    <t>DEF+LUK</t>
  </si>
  <si>
    <t>F-4</t>
  </si>
  <si>
    <t>U-2</t>
  </si>
  <si>
    <t>强化AGI</t>
  </si>
  <si>
    <t>强化LUK</t>
  </si>
  <si>
    <t>Lv5</t>
  </si>
  <si>
    <t>F-16</t>
  </si>
  <si>
    <t>AV-8</t>
  </si>
  <si>
    <t>F-15</t>
  </si>
  <si>
    <t>SR-71</t>
  </si>
  <si>
    <t>EC-121</t>
  </si>
  <si>
    <t>B-1</t>
  </si>
  <si>
    <t>Lv6</t>
  </si>
  <si>
    <t>F-35</t>
  </si>
  <si>
    <t>A-10</t>
  </si>
  <si>
    <t>F-22</t>
  </si>
  <si>
    <t>SR-72</t>
  </si>
  <si>
    <t>E-3</t>
  </si>
  <si>
    <t>B-2</t>
  </si>
  <si>
    <t>示例敌人1</t>
  </si>
  <si>
    <t>示例敌人2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</si>
</sst>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3" borderId="16">
      <alignment vertical="center"/>
    </xf>
    <xf numFmtId="0" fontId="12" fillId="4" borderId="17">
      <alignment vertical="center"/>
    </xf>
    <xf numFmtId="0" fontId="13" fillId="4" borderId="16">
      <alignment vertical="center"/>
    </xf>
    <xf numFmtId="0" fontId="14" fillId="5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2" fillId="0" borderId="6" xfId="0" applyNumberFormat="1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8" xfId="0" applyNumberForma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opLeftCell="A19" workbookViewId="0">
      <selection activeCell="A25" sqref="A25:D31"/>
    </sheetView>
  </sheetViews>
  <sheetFormatPr defaultColWidth="15.7777777777778" defaultRowHeight="14.4"/>
  <cols>
    <col min="1" max="16384" width="15.7777777777778" customWidth="1"/>
  </cols>
  <sheetData>
    <row r="1" ht="15.15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>
      <c r="A2" s="75" t="s">
        <v>6</v>
      </c>
      <c r="B2" s="21" t="s">
        <v>7</v>
      </c>
      <c r="C2" s="21"/>
      <c r="D2" s="21"/>
      <c r="E2" s="21" t="s">
        <v>8</v>
      </c>
      <c r="F2" s="21" t="s">
        <v>9</v>
      </c>
      <c r="G2" s="22" t="s">
        <v>10</v>
      </c>
    </row>
    <row r="3" spans="1:10">
      <c r="A3" s="76"/>
      <c r="B3" t="s">
        <v>11</v>
      </c>
      <c r="C3"/>
      <c r="E3" t="s">
        <v>12</v>
      </c>
      <c r="F3" t="s">
        <v>13</v>
      </c>
      <c r="G3" s="77" t="s">
        <v>14</v>
      </c>
    </row>
    <row r="4" ht="15.15" spans="1:10">
      <c r="A4" s="78"/>
      <c r="B4" s="79" t="s">
        <v>15</v>
      </c>
      <c r="C4" s="79"/>
      <c r="D4" s="79"/>
      <c r="E4" s="79" t="s">
        <v>16</v>
      </c>
      <c r="F4" s="79" t="s">
        <v>17</v>
      </c>
      <c r="G4" s="80" t="s">
        <v>18</v>
      </c>
    </row>
    <row r="5" spans="1:10">
      <c r="A5" s="81" t="s">
        <v>19</v>
      </c>
      <c r="B5" s="82" t="s">
        <v>20</v>
      </c>
      <c r="C5" s="82"/>
      <c r="D5" s="82"/>
      <c r="E5" t="s">
        <v>21</v>
      </c>
      <c r="F5" s="82" t="s">
        <v>22</v>
      </c>
      <c r="G5" s="83" t="s">
        <v>23</v>
      </c>
    </row>
    <row r="6" ht="15.15" spans="1:10">
      <c r="A6" s="76"/>
      <c r="B6" t="s">
        <v>24</v>
      </c>
      <c r="E6" t="s">
        <v>25</v>
      </c>
      <c r="F6" t="s">
        <v>26</v>
      </c>
      <c r="G6" s="77" t="s">
        <v>27</v>
      </c>
      <c r="I6" s="15"/>
    </row>
    <row r="7" ht="15.15" spans="1:10">
      <c r="A7" s="78"/>
      <c r="B7" s="79" t="s">
        <v>28</v>
      </c>
      <c r="C7" s="79"/>
      <c r="D7" s="79"/>
      <c r="E7" s="84" t="s">
        <v>29</v>
      </c>
      <c r="F7" s="84" t="s">
        <v>30</v>
      </c>
      <c r="G7" s="85" t="s">
        <v>31</v>
      </c>
      <c r="I7" s="86"/>
      <c r="J7" s="68"/>
    </row>
    <row r="8" spans="1:10">
      <c r="A8" s="75" t="s">
        <v>32</v>
      </c>
      <c r="B8" s="21"/>
      <c r="C8" s="21" t="s">
        <v>33</v>
      </c>
      <c r="D8" s="21"/>
      <c r="E8" s="87" t="s">
        <v>34</v>
      </c>
      <c r="F8" s="88" t="s">
        <v>35</v>
      </c>
      <c r="G8" s="89" t="s">
        <v>36</v>
      </c>
      <c r="I8" s="86"/>
      <c r="J8" s="90"/>
    </row>
    <row r="9" ht="15.15" spans="1:10">
      <c r="A9" s="76"/>
      <c r="C9" t="s">
        <v>37</v>
      </c>
      <c r="E9" s="91" t="s">
        <v>38</v>
      </c>
      <c r="F9" s="92" t="s">
        <v>39</v>
      </c>
      <c r="G9" s="93" t="s">
        <v>40</v>
      </c>
      <c r="I9" s="73"/>
      <c r="J9" s="72"/>
    </row>
    <row r="10" ht="15.15" spans="1:10">
      <c r="A10" s="76"/>
      <c r="C10" t="s">
        <v>41</v>
      </c>
      <c r="E10" s="94" t="s">
        <v>42</v>
      </c>
      <c r="F10" s="95" t="s">
        <v>43</v>
      </c>
      <c r="G10" s="96" t="s">
        <v>44</v>
      </c>
    </row>
    <row r="11" spans="1:10">
      <c r="A11" s="76"/>
      <c r="C11" t="s">
        <v>45</v>
      </c>
      <c r="G11" s="77"/>
    </row>
    <row r="12" spans="1:10">
      <c r="A12" s="76"/>
      <c r="C12" t="s">
        <v>46</v>
      </c>
      <c r="G12" s="77"/>
    </row>
    <row r="13" spans="1:10">
      <c r="A13" s="76"/>
      <c r="C13" t="s">
        <v>47</v>
      </c>
      <c r="G13" s="77"/>
      <c r="I13" s="15"/>
    </row>
    <row r="14" ht="15.15" spans="1:10">
      <c r="A14" s="76"/>
      <c r="C14" t="s">
        <v>48</v>
      </c>
      <c r="G14" s="77"/>
      <c r="I14" s="72"/>
    </row>
    <row r="15" ht="15.15" spans="1:10">
      <c r="A15" s="78"/>
      <c r="B15" s="79"/>
      <c r="C15" s="79" t="s">
        <v>49</v>
      </c>
      <c r="D15" s="79"/>
      <c r="E15" s="84"/>
      <c r="F15" s="84"/>
      <c r="G15" s="85"/>
      <c r="I15" s="70"/>
    </row>
    <row r="16" ht="15.15" spans="1:10">
      <c r="A16" s="75" t="s">
        <v>50</v>
      </c>
      <c r="B16" s="21"/>
      <c r="C16"/>
      <c r="D16" s="21" t="s">
        <v>51</v>
      </c>
      <c r="E16" s="97" t="s">
        <v>52</v>
      </c>
      <c r="F16" s="8" t="s">
        <v>53</v>
      </c>
      <c r="G16" s="98" t="s">
        <v>54</v>
      </c>
      <c r="I16" s="68"/>
    </row>
    <row r="17" ht="15.15" spans="1:9">
      <c r="A17" s="76"/>
      <c r="D17" t="s">
        <v>55</v>
      </c>
      <c r="E17" s="99" t="s">
        <v>56</v>
      </c>
      <c r="F17" s="15" t="s">
        <v>57</v>
      </c>
      <c r="G17" s="16" t="s">
        <v>58</v>
      </c>
      <c r="I17" s="15"/>
    </row>
    <row r="18" ht="15.15" spans="1:9">
      <c r="A18" s="76"/>
      <c r="D18" t="s">
        <v>59</v>
      </c>
      <c r="E18" s="13" t="s">
        <v>60</v>
      </c>
      <c r="F18" s="19" t="s">
        <v>61</v>
      </c>
      <c r="G18" s="100" t="s">
        <v>62</v>
      </c>
    </row>
    <row r="19" spans="1:9">
      <c r="A19" s="76"/>
      <c r="D19" t="s">
        <v>63</v>
      </c>
      <c r="G19" s="77"/>
    </row>
    <row r="20" spans="1:9">
      <c r="A20" s="76"/>
      <c r="D20" t="s">
        <v>64</v>
      </c>
      <c r="G20" s="77"/>
    </row>
    <row r="21" spans="1:9">
      <c r="A21" s="76"/>
      <c r="D21" t="s">
        <v>65</v>
      </c>
      <c r="G21" s="77"/>
    </row>
    <row r="22" spans="1:9">
      <c r="A22" s="76"/>
      <c r="D22" t="s">
        <v>66</v>
      </c>
      <c r="G22" s="77"/>
    </row>
    <row r="23" ht="15.15" spans="1:9">
      <c r="A23" s="78"/>
      <c r="B23" s="79"/>
      <c r="C23" s="79"/>
      <c r="D23" s="79" t="s">
        <v>67</v>
      </c>
      <c r="E23" s="79"/>
      <c r="F23" s="79"/>
      <c r="G23" s="80"/>
    </row>
    <row r="24" ht="15.15"/>
    <row r="25" ht="15.15" spans="1:9">
      <c r="A25" t="s">
        <v>68</v>
      </c>
      <c r="B25" t="s">
        <v>69</v>
      </c>
      <c r="C25" t="s">
        <v>70</v>
      </c>
      <c r="D25" t="s">
        <v>71</v>
      </c>
      <c r="E25" s="101" t="s">
        <v>72</v>
      </c>
      <c r="F25" s="22"/>
      <c r="G25" s="101" t="s">
        <v>73</v>
      </c>
      <c r="H25" s="22"/>
    </row>
    <row r="26" spans="1:9">
      <c r="A26" t="s">
        <v>74</v>
      </c>
      <c r="C26" t="s">
        <v>75</v>
      </c>
      <c r="E26" s="76" t="s">
        <v>76</v>
      </c>
      <c r="F26" s="77"/>
      <c r="G26" s="76" t="s">
        <v>77</v>
      </c>
      <c r="H26" s="77"/>
    </row>
    <row r="27" spans="1:9">
      <c r="A27" t="s">
        <v>78</v>
      </c>
      <c r="C27" t="s">
        <v>79</v>
      </c>
      <c r="E27" s="76" t="s">
        <v>80</v>
      </c>
      <c r="F27" s="77"/>
      <c r="G27" s="76" t="s">
        <v>81</v>
      </c>
      <c r="H27" s="77"/>
    </row>
    <row r="28" spans="1:9">
      <c r="A28" t="s">
        <v>82</v>
      </c>
      <c r="B28" t="s">
        <v>83</v>
      </c>
      <c r="C28" t="s">
        <v>84</v>
      </c>
      <c r="D28" t="s">
        <v>85</v>
      </c>
      <c r="E28" s="76" t="s">
        <v>86</v>
      </c>
      <c r="F28" s="77" t="s">
        <v>87</v>
      </c>
      <c r="G28" s="76" t="s">
        <v>88</v>
      </c>
      <c r="H28" s="77" t="s">
        <v>89</v>
      </c>
    </row>
    <row r="29" spans="1:9">
      <c r="A29" t="s">
        <v>90</v>
      </c>
      <c r="B29" t="s">
        <v>91</v>
      </c>
      <c r="C29" t="s">
        <v>92</v>
      </c>
      <c r="D29" t="s">
        <v>93</v>
      </c>
      <c r="E29" s="76" t="s">
        <v>94</v>
      </c>
      <c r="F29" s="77" t="s">
        <v>95</v>
      </c>
      <c r="G29" s="76" t="s">
        <v>96</v>
      </c>
      <c r="H29" s="77" t="s">
        <v>97</v>
      </c>
    </row>
    <row r="30" ht="15.15" spans="1:9">
      <c r="A30" t="s">
        <v>98</v>
      </c>
      <c r="B30" t="s">
        <v>99</v>
      </c>
      <c r="C30" t="s">
        <v>100</v>
      </c>
      <c r="D30" t="s">
        <v>101</v>
      </c>
      <c r="E30" s="78"/>
      <c r="F30" s="80" t="s">
        <v>102</v>
      </c>
      <c r="G30" s="78"/>
      <c r="H30" s="80" t="s">
        <v>103</v>
      </c>
    </row>
    <row r="31" ht="15.15" spans="1:9">
      <c r="A31" t="s">
        <v>104</v>
      </c>
      <c r="B31" t="s">
        <v>105</v>
      </c>
      <c r="C31" t="s">
        <v>106</v>
      </c>
      <c r="D31" t="s">
        <v>107</v>
      </c>
      <c r="E31" s="101" t="s">
        <v>108</v>
      </c>
      <c r="F31" s="22"/>
      <c r="G31" s="101" t="s">
        <v>109</v>
      </c>
      <c r="H31" s="22"/>
    </row>
    <row r="32" spans="1:9">
      <c r="E32" s="76" t="s">
        <v>110</v>
      </c>
      <c r="F32" s="77"/>
      <c r="G32" s="76" t="s">
        <v>111</v>
      </c>
      <c r="H32" s="77"/>
    </row>
    <row r="33" spans="5:8">
      <c r="E33" s="76" t="s">
        <v>112</v>
      </c>
      <c r="F33" s="77"/>
      <c r="G33" s="76" t="s">
        <v>113</v>
      </c>
      <c r="H33" s="77"/>
    </row>
    <row r="34" spans="5:8">
      <c r="E34" s="76" t="s">
        <v>114</v>
      </c>
      <c r="F34" s="77" t="s">
        <v>115</v>
      </c>
      <c r="G34" s="76" t="s">
        <v>116</v>
      </c>
      <c r="H34" s="77" t="s">
        <v>117</v>
      </c>
    </row>
    <row r="35" spans="5:8">
      <c r="E35" s="76" t="s">
        <v>118</v>
      </c>
      <c r="F35" s="77" t="s">
        <v>119</v>
      </c>
      <c r="G35" s="76" t="s">
        <v>120</v>
      </c>
      <c r="H35" s="77" t="s">
        <v>121</v>
      </c>
    </row>
    <row r="36" ht="15.15" spans="5:8">
      <c r="E36" s="78"/>
      <c r="F36" s="80" t="s">
        <v>122</v>
      </c>
      <c r="G36" s="78"/>
      <c r="H36" s="80" t="s">
        <v>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F1" workbookViewId="0">
      <selection activeCell="F29" sqref="F29"/>
    </sheetView>
  </sheetViews>
  <sheetFormatPr defaultColWidth="8.88888888888889" defaultRowHeight="14.4"/>
  <cols>
    <col min="1" max="1" width="5.66666666666667" style="1" customWidth="1"/>
    <col min="2" max="2" width="11.8888888888889" style="1" customWidth="1"/>
    <col min="3" max="3" width="14.1111111111111" style="1" customWidth="1"/>
    <col min="4" max="4" width="5.66666666666667" style="1" customWidth="1"/>
    <col min="5" max="5" width="14.1111111111111" style="1" customWidth="1"/>
    <col min="6" max="6" width="121" customWidth="1"/>
  </cols>
  <sheetData>
    <row r="1" spans="1:10">
      <c r="D1" s="1" t="s">
        <v>124</v>
      </c>
      <c r="E1" s="1" t="s">
        <v>125</v>
      </c>
      <c r="F1" s="1" t="s">
        <v>126</v>
      </c>
    </row>
    <row r="2" spans="1:10">
      <c r="A2" s="1" t="s">
        <v>127</v>
      </c>
      <c r="B2" s="1" t="s">
        <v>128</v>
      </c>
      <c r="C2" s="64" t="s">
        <v>76</v>
      </c>
      <c r="D2" s="1">
        <v>10</v>
      </c>
      <c r="E2" s="1">
        <v>1</v>
      </c>
      <c r="F2" s="65" t="s">
        <v>129</v>
      </c>
    </row>
    <row r="3" spans="1:10">
      <c r="B3" s="1" t="s">
        <v>130</v>
      </c>
      <c r="C3" s="64" t="s">
        <v>80</v>
      </c>
      <c r="D3" s="1">
        <f t="shared" ref="D3:D8" si="0">D2+10</f>
        <v>20</v>
      </c>
      <c r="E3" s="1">
        <f t="shared" ref="E3:E8" si="1">E2+0.1</f>
        <v>1.1</v>
      </c>
      <c r="F3" s="65" t="s">
        <v>131</v>
      </c>
    </row>
    <row r="4" spans="1:10">
      <c r="B4" s="1" t="s">
        <v>132</v>
      </c>
      <c r="C4" s="64" t="s">
        <v>86</v>
      </c>
      <c r="D4" s="1">
        <f t="shared" si="0"/>
        <v>30</v>
      </c>
      <c r="E4" s="1">
        <f t="shared" si="1"/>
        <v>1.2</v>
      </c>
      <c r="F4" s="65" t="s">
        <v>133</v>
      </c>
    </row>
    <row r="5" spans="1:10">
      <c r="B5" s="1">
        <f>0.8</f>
        <v>0.8</v>
      </c>
      <c r="C5" s="64" t="s">
        <v>94</v>
      </c>
      <c r="D5" s="1">
        <f t="shared" si="0"/>
        <v>40</v>
      </c>
      <c r="E5" s="1">
        <f t="shared" si="1"/>
        <v>1.3</v>
      </c>
      <c r="F5" s="65" t="s">
        <v>134</v>
      </c>
    </row>
    <row r="6" spans="1:10">
      <c r="B6" s="1" t="s">
        <v>135</v>
      </c>
      <c r="C6" s="66" t="s">
        <v>87</v>
      </c>
      <c r="D6" s="1">
        <v>30</v>
      </c>
      <c r="E6" s="1">
        <v>1.2</v>
      </c>
      <c r="F6" s="65" t="s">
        <v>133</v>
      </c>
    </row>
    <row r="7" spans="1:10">
      <c r="B7" s="1" t="s">
        <v>136</v>
      </c>
      <c r="C7" s="66" t="s">
        <v>95</v>
      </c>
      <c r="D7" s="1">
        <f t="shared" si="0"/>
        <v>40</v>
      </c>
      <c r="E7" s="1">
        <f t="shared" si="1"/>
        <v>1.3</v>
      </c>
      <c r="F7" s="65" t="s">
        <v>134</v>
      </c>
    </row>
    <row r="8" spans="1:10">
      <c r="C8" s="67" t="s">
        <v>102</v>
      </c>
      <c r="D8" s="1">
        <f t="shared" si="0"/>
        <v>50</v>
      </c>
      <c r="E8" s="1">
        <f t="shared" si="1"/>
        <v>1.4</v>
      </c>
      <c r="F8" s="65" t="s">
        <v>137</v>
      </c>
      <c r="G8" s="15"/>
      <c r="H8" s="15"/>
      <c r="I8" s="15"/>
      <c r="J8" s="15"/>
    </row>
    <row r="9" spans="1:10">
      <c r="A9" s="1" t="s">
        <v>138</v>
      </c>
      <c r="B9" s="1" t="s">
        <v>139</v>
      </c>
      <c r="C9" s="64" t="s">
        <v>77</v>
      </c>
      <c r="D9" s="1">
        <v>10</v>
      </c>
      <c r="E9" s="1">
        <v>1</v>
      </c>
      <c r="F9" s="49" t="s">
        <v>140</v>
      </c>
      <c r="G9" s="15"/>
      <c r="H9" s="15"/>
      <c r="I9" s="15"/>
      <c r="J9" s="15"/>
    </row>
    <row r="10" spans="1:10">
      <c r="B10" s="1" t="s">
        <v>141</v>
      </c>
      <c r="C10" s="64" t="s">
        <v>81</v>
      </c>
      <c r="D10" s="1">
        <f t="shared" ref="D10:D12" si="2">D9+10</f>
        <v>20</v>
      </c>
      <c r="E10" s="1">
        <f t="shared" ref="E10:E12" si="3">E9+0.1</f>
        <v>1.1</v>
      </c>
      <c r="F10" s="49" t="s">
        <v>142</v>
      </c>
      <c r="G10" s="15"/>
      <c r="H10" s="15"/>
      <c r="I10" s="15"/>
      <c r="J10" s="15"/>
    </row>
    <row r="11" spans="1:10">
      <c r="B11" s="1" t="s">
        <v>132</v>
      </c>
      <c r="C11" s="64" t="s">
        <v>88</v>
      </c>
      <c r="D11" s="1">
        <f t="shared" si="2"/>
        <v>30</v>
      </c>
      <c r="E11" s="1">
        <f t="shared" si="3"/>
        <v>1.2</v>
      </c>
      <c r="F11" s="49" t="s">
        <v>143</v>
      </c>
      <c r="G11" s="68"/>
      <c r="H11" s="69"/>
      <c r="I11" s="68"/>
      <c r="J11" s="15"/>
    </row>
    <row r="12" spans="1:10">
      <c r="B12" s="1">
        <f>0.8</f>
        <v>0.8</v>
      </c>
      <c r="C12" s="64" t="s">
        <v>96</v>
      </c>
      <c r="D12" s="1">
        <f t="shared" si="2"/>
        <v>40</v>
      </c>
      <c r="E12" s="1">
        <f t="shared" si="3"/>
        <v>1.3</v>
      </c>
      <c r="F12" s="49" t="s">
        <v>144</v>
      </c>
      <c r="G12" s="70"/>
      <c r="H12" s="71"/>
      <c r="I12" s="70"/>
      <c r="J12" s="15"/>
    </row>
    <row r="13" spans="1:10">
      <c r="B13" s="1" t="s">
        <v>135</v>
      </c>
      <c r="C13" s="66" t="s">
        <v>89</v>
      </c>
      <c r="D13" s="1">
        <v>30</v>
      </c>
      <c r="E13" s="1">
        <v>1.2</v>
      </c>
      <c r="F13" s="49" t="s">
        <v>143</v>
      </c>
      <c r="G13" s="70"/>
      <c r="H13" s="71"/>
      <c r="I13" s="70"/>
      <c r="J13" s="15"/>
    </row>
    <row r="14" spans="1:10">
      <c r="B14" s="1" t="s">
        <v>136</v>
      </c>
      <c r="C14" s="66" t="s">
        <v>97</v>
      </c>
      <c r="D14" s="1">
        <f>D13+10</f>
        <v>40</v>
      </c>
      <c r="E14" s="1">
        <f t="shared" ref="E14:E19" si="4">E13+0.1</f>
        <v>1.3</v>
      </c>
      <c r="F14" s="49" t="s">
        <v>144</v>
      </c>
      <c r="G14" s="70"/>
      <c r="H14" s="71"/>
      <c r="I14" s="70"/>
      <c r="J14" s="15"/>
    </row>
    <row r="15" spans="1:10">
      <c r="C15" s="67" t="s">
        <v>103</v>
      </c>
      <c r="D15" s="1">
        <f>D14+10</f>
        <v>50</v>
      </c>
      <c r="E15" s="1">
        <f t="shared" si="4"/>
        <v>1.4</v>
      </c>
      <c r="F15" s="49" t="s">
        <v>145</v>
      </c>
      <c r="G15" s="70"/>
      <c r="H15" s="71"/>
      <c r="I15" s="70"/>
      <c r="J15" s="15"/>
    </row>
    <row r="16" spans="1:10">
      <c r="A16" s="1" t="s">
        <v>146</v>
      </c>
      <c r="B16" s="1" t="s">
        <v>147</v>
      </c>
      <c r="C16" s="64" t="s">
        <v>110</v>
      </c>
      <c r="D16" s="1">
        <v>20</v>
      </c>
      <c r="E16" s="1">
        <v>1</v>
      </c>
      <c r="F16" s="65" t="s">
        <v>148</v>
      </c>
      <c r="G16" s="72"/>
      <c r="H16" s="73"/>
      <c r="I16" s="72"/>
      <c r="J16" s="15"/>
    </row>
    <row r="17" spans="1:10">
      <c r="B17" s="1" t="s">
        <v>149</v>
      </c>
      <c r="C17" s="64" t="s">
        <v>112</v>
      </c>
      <c r="D17" s="1">
        <f t="shared" ref="D17:D20" si="5">D16+20</f>
        <v>40</v>
      </c>
      <c r="E17" s="1">
        <f t="shared" si="4"/>
        <v>1.1</v>
      </c>
      <c r="F17" s="74" t="s">
        <v>150</v>
      </c>
      <c r="G17" s="68"/>
      <c r="H17" s="69"/>
      <c r="I17" s="68"/>
      <c r="J17" s="15"/>
    </row>
    <row r="18" spans="1:10">
      <c r="B18" s="1" t="s">
        <v>151</v>
      </c>
      <c r="C18" s="64" t="s">
        <v>114</v>
      </c>
      <c r="D18" s="1">
        <f t="shared" si="5"/>
        <v>60</v>
      </c>
      <c r="E18" s="1">
        <f t="shared" si="4"/>
        <v>1.2</v>
      </c>
      <c r="F18" s="65" t="s">
        <v>152</v>
      </c>
      <c r="G18" s="70"/>
      <c r="H18" s="71"/>
      <c r="I18" s="70"/>
      <c r="J18" s="15"/>
    </row>
    <row r="19" spans="1:10">
      <c r="B19" s="1">
        <f>1.2</f>
        <v>1.2</v>
      </c>
      <c r="C19" s="64" t="s">
        <v>118</v>
      </c>
      <c r="D19" s="1">
        <f t="shared" si="5"/>
        <v>80</v>
      </c>
      <c r="E19" s="1">
        <f t="shared" si="4"/>
        <v>1.3</v>
      </c>
      <c r="F19" s="74" t="s">
        <v>153</v>
      </c>
      <c r="G19" s="70"/>
      <c r="H19" s="71"/>
      <c r="I19" s="70"/>
      <c r="J19" s="15"/>
    </row>
    <row r="20" spans="1:10">
      <c r="B20" s="1" t="s">
        <v>154</v>
      </c>
      <c r="C20" s="66" t="s">
        <v>115</v>
      </c>
      <c r="D20" s="1">
        <v>60</v>
      </c>
      <c r="E20" s="1">
        <v>1.2</v>
      </c>
      <c r="F20" s="74" t="s">
        <v>155</v>
      </c>
      <c r="G20" s="70"/>
      <c r="H20" s="71"/>
      <c r="I20" s="70"/>
      <c r="J20" s="15"/>
    </row>
    <row r="21" spans="1:10">
      <c r="B21" s="1" t="s">
        <v>156</v>
      </c>
      <c r="C21" s="66" t="s">
        <v>119</v>
      </c>
      <c r="D21" s="1">
        <v>160</v>
      </c>
      <c r="E21" s="1">
        <f t="shared" ref="E21:E26" si="6">E20+0.1</f>
        <v>1.3</v>
      </c>
      <c r="F21" s="74" t="s">
        <v>153</v>
      </c>
      <c r="G21" s="70"/>
      <c r="H21" s="71"/>
      <c r="I21" s="70"/>
      <c r="J21" s="15"/>
    </row>
    <row r="22" spans="1:10">
      <c r="C22" s="67" t="s">
        <v>122</v>
      </c>
      <c r="D22" s="1">
        <v>200</v>
      </c>
      <c r="E22" s="1">
        <f t="shared" si="6"/>
        <v>1.4</v>
      </c>
      <c r="F22" s="74" t="s">
        <v>157</v>
      </c>
      <c r="G22" s="72"/>
      <c r="H22" s="73"/>
      <c r="I22" s="72"/>
      <c r="J22" s="15"/>
    </row>
    <row r="23" spans="1:10">
      <c r="A23" s="1" t="s">
        <v>158</v>
      </c>
      <c r="B23" s="1" t="s">
        <v>128</v>
      </c>
      <c r="C23" s="64" t="s">
        <v>111</v>
      </c>
      <c r="D23" s="1">
        <v>400</v>
      </c>
      <c r="E23" s="1">
        <v>1</v>
      </c>
      <c r="F23" s="65" t="s">
        <v>159</v>
      </c>
      <c r="G23" s="15"/>
      <c r="H23" s="15"/>
      <c r="I23" s="15"/>
      <c r="J23" s="15"/>
    </row>
    <row r="24" spans="1:10">
      <c r="B24" s="1" t="s">
        <v>141</v>
      </c>
      <c r="C24" s="64" t="s">
        <v>113</v>
      </c>
      <c r="D24" s="1">
        <v>800</v>
      </c>
      <c r="E24" s="1">
        <f t="shared" si="6"/>
        <v>1.1</v>
      </c>
      <c r="F24" s="65" t="s">
        <v>160</v>
      </c>
    </row>
    <row r="25" spans="1:10">
      <c r="B25" s="1" t="s">
        <v>151</v>
      </c>
      <c r="C25" s="64" t="s">
        <v>116</v>
      </c>
      <c r="D25" s="1">
        <v>1200</v>
      </c>
      <c r="E25" s="1">
        <f t="shared" si="6"/>
        <v>1.2</v>
      </c>
      <c r="F25" s="65" t="s">
        <v>161</v>
      </c>
    </row>
    <row r="26" spans="1:10">
      <c r="B26" s="1">
        <f>1.2</f>
        <v>1.2</v>
      </c>
      <c r="C26" s="64" t="s">
        <v>120</v>
      </c>
      <c r="D26" s="1">
        <v>1600</v>
      </c>
      <c r="E26" s="1">
        <f t="shared" si="6"/>
        <v>1.3</v>
      </c>
      <c r="F26" s="65" t="s">
        <v>162</v>
      </c>
    </row>
    <row r="27" spans="1:10">
      <c r="B27" s="1" t="s">
        <v>163</v>
      </c>
      <c r="C27" s="66" t="s">
        <v>117</v>
      </c>
      <c r="D27" s="1">
        <v>120</v>
      </c>
      <c r="E27" s="1">
        <v>1.2</v>
      </c>
      <c r="F27" s="49" t="s">
        <v>164</v>
      </c>
    </row>
    <row r="28" spans="1:10">
      <c r="B28" s="1" t="s">
        <v>165</v>
      </c>
      <c r="C28" s="66" t="s">
        <v>121</v>
      </c>
      <c r="D28" s="1">
        <f>D27+40</f>
        <v>160</v>
      </c>
      <c r="E28" s="1">
        <f>E27+0.1</f>
        <v>1.3</v>
      </c>
      <c r="F28" s="49" t="s">
        <v>166</v>
      </c>
    </row>
    <row r="29" spans="1:10">
      <c r="C29" s="67" t="s">
        <v>123</v>
      </c>
      <c r="D29" s="1">
        <f>D28+40</f>
        <v>200</v>
      </c>
      <c r="E29" s="1">
        <f>E28+0.1</f>
        <v>1.4</v>
      </c>
      <c r="F29" s="49" t="s">
        <v>167</v>
      </c>
    </row>
  </sheetData>
  <mergeCells count="4">
    <mergeCell ref="A2:A8"/>
    <mergeCell ref="A9:A15"/>
    <mergeCell ref="A16:A22"/>
    <mergeCell ref="A23:A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45" sqref="B45"/>
    </sheetView>
  </sheetViews>
  <sheetFormatPr defaultColWidth="10.7777777777778" defaultRowHeight="14.4"/>
  <cols>
    <col min="1" max="1" width="14.1111111111111" style="1" customWidth="1"/>
    <col min="2" max="16384" width="10.7777777777778" style="1" customWidth="1"/>
  </cols>
  <sheetData>
    <row r="1" ht="15.15" spans="1:11">
      <c r="A1" s="49"/>
      <c r="B1" s="49" t="s">
        <v>168</v>
      </c>
      <c r="C1" s="49" t="s">
        <v>169</v>
      </c>
      <c r="D1" s="49" t="s">
        <v>170</v>
      </c>
      <c r="E1" s="49" t="s">
        <v>171</v>
      </c>
      <c r="F1" s="49" t="s">
        <v>172</v>
      </c>
      <c r="G1" s="49" t="s">
        <v>173</v>
      </c>
      <c r="H1" s="49" t="s">
        <v>174</v>
      </c>
      <c r="I1" s="49" t="s">
        <v>175</v>
      </c>
      <c r="J1" s="1" t="s">
        <v>176</v>
      </c>
      <c r="K1" s="1" t="s">
        <v>177</v>
      </c>
    </row>
    <row r="2" s="46" customFormat="1" hidden="1" spans="1:11">
      <c r="A2" s="50" t="s">
        <v>7</v>
      </c>
      <c r="B2" s="51"/>
      <c r="C2" s="51"/>
      <c r="D2" s="51"/>
      <c r="E2" s="51">
        <v>40</v>
      </c>
      <c r="F2" s="51"/>
      <c r="G2" s="51"/>
      <c r="H2" s="51"/>
      <c r="I2" s="51"/>
      <c r="K2" s="46">
        <v>-20</v>
      </c>
    </row>
    <row r="3" hidden="1" spans="1:11">
      <c r="A3" s="52" t="s">
        <v>11</v>
      </c>
      <c r="B3" s="49"/>
      <c r="C3" s="49">
        <v>40</v>
      </c>
      <c r="D3" s="49"/>
      <c r="E3" s="49"/>
      <c r="F3" s="49"/>
      <c r="G3" s="49"/>
      <c r="H3" s="49"/>
      <c r="I3" s="49"/>
    </row>
    <row r="4" s="47" customFormat="1" ht="15.15" hidden="1" spans="1:11">
      <c r="A4" s="53" t="s">
        <v>15</v>
      </c>
      <c r="B4" s="54"/>
      <c r="C4" s="54">
        <v>20</v>
      </c>
      <c r="D4" s="54"/>
      <c r="E4" s="54">
        <v>20</v>
      </c>
      <c r="F4" s="54"/>
      <c r="G4" s="54"/>
      <c r="H4" s="54"/>
      <c r="I4" s="54"/>
      <c r="K4" s="47">
        <v>-20</v>
      </c>
    </row>
    <row r="5" s="46" customFormat="1" hidden="1" spans="1:11">
      <c r="A5" s="50" t="s">
        <v>20</v>
      </c>
      <c r="B5" s="51"/>
      <c r="C5" s="51"/>
      <c r="D5" s="51"/>
      <c r="E5" s="51"/>
      <c r="F5" s="51"/>
      <c r="G5" s="51"/>
      <c r="H5" s="51">
        <v>20</v>
      </c>
      <c r="I5" s="51">
        <v>20</v>
      </c>
    </row>
    <row r="6" hidden="1" spans="1:11">
      <c r="A6" s="52" t="s">
        <v>24</v>
      </c>
      <c r="B6" s="49"/>
      <c r="C6" s="49"/>
      <c r="D6" s="49"/>
      <c r="E6" s="49"/>
      <c r="F6" s="49">
        <v>20</v>
      </c>
      <c r="G6" s="49">
        <v>20</v>
      </c>
      <c r="H6" s="49"/>
      <c r="I6" s="49"/>
      <c r="K6" s="1">
        <v>20</v>
      </c>
    </row>
    <row r="7" s="47" customFormat="1" ht="15.15" hidden="1" spans="1:11">
      <c r="A7" s="53" t="s">
        <v>28</v>
      </c>
      <c r="B7" s="54"/>
      <c r="C7" s="54"/>
      <c r="D7" s="54"/>
      <c r="E7" s="54"/>
      <c r="F7" s="54">
        <v>40</v>
      </c>
      <c r="G7" s="54"/>
      <c r="H7" s="54"/>
      <c r="I7" s="54"/>
    </row>
    <row r="8" s="46" customFormat="1" hidden="1" spans="1:11">
      <c r="A8" s="50" t="s">
        <v>33</v>
      </c>
      <c r="B8" s="51">
        <v>15</v>
      </c>
      <c r="C8" s="51">
        <v>15</v>
      </c>
      <c r="D8" s="51"/>
      <c r="E8" s="51"/>
      <c r="F8" s="51"/>
      <c r="G8" s="51"/>
      <c r="H8" s="51"/>
      <c r="I8" s="51"/>
    </row>
    <row r="9" s="47" customFormat="1" ht="15.15" hidden="1" spans="1:11">
      <c r="A9" s="53" t="s">
        <v>37</v>
      </c>
      <c r="B9" s="54">
        <v>10</v>
      </c>
      <c r="C9" s="54">
        <v>10</v>
      </c>
      <c r="D9" s="54"/>
      <c r="E9" s="54"/>
      <c r="F9" s="54">
        <v>10</v>
      </c>
      <c r="G9" s="54"/>
      <c r="H9" s="54"/>
      <c r="I9" s="54"/>
    </row>
    <row r="10" s="46" customFormat="1" hidden="1" spans="1:11">
      <c r="A10" s="50" t="s">
        <v>41</v>
      </c>
      <c r="B10" s="51">
        <v>30</v>
      </c>
      <c r="C10" s="51">
        <v>30</v>
      </c>
      <c r="D10" s="51"/>
      <c r="E10" s="51"/>
      <c r="F10" s="51"/>
      <c r="G10" s="51"/>
      <c r="H10" s="51"/>
      <c r="I10" s="51"/>
    </row>
    <row r="11" s="47" customFormat="1" ht="15.15" hidden="1" spans="1:11">
      <c r="A11" s="53" t="s">
        <v>45</v>
      </c>
      <c r="B11" s="54">
        <v>20</v>
      </c>
      <c r="C11" s="54">
        <v>20</v>
      </c>
      <c r="D11" s="54"/>
      <c r="E11" s="54"/>
      <c r="F11" s="54">
        <v>20</v>
      </c>
      <c r="G11" s="54"/>
      <c r="H11" s="54"/>
      <c r="I11" s="54"/>
    </row>
    <row r="12" s="46" customFormat="1" hidden="1" spans="1:11">
      <c r="A12" s="50" t="s">
        <v>46</v>
      </c>
      <c r="B12" s="51">
        <v>45</v>
      </c>
      <c r="C12" s="51">
        <v>45</v>
      </c>
      <c r="D12" s="51"/>
      <c r="E12" s="51"/>
      <c r="F12" s="51"/>
      <c r="G12" s="51"/>
      <c r="H12" s="51"/>
      <c r="I12" s="51"/>
    </row>
    <row r="13" s="47" customFormat="1" ht="15.15" hidden="1" spans="1:11">
      <c r="A13" s="55" t="s">
        <v>47</v>
      </c>
      <c r="B13" s="54">
        <v>30</v>
      </c>
      <c r="C13" s="54">
        <v>30</v>
      </c>
      <c r="D13" s="54"/>
      <c r="E13" s="54"/>
      <c r="F13" s="54">
        <v>30</v>
      </c>
      <c r="G13" s="54"/>
      <c r="H13" s="54"/>
      <c r="I13" s="54"/>
    </row>
    <row r="14" hidden="1" spans="1:11">
      <c r="A14" s="56" t="s">
        <v>49</v>
      </c>
      <c r="B14" s="49">
        <v>60</v>
      </c>
      <c r="C14" s="49">
        <v>60</v>
      </c>
      <c r="D14" s="49"/>
      <c r="E14" s="49"/>
      <c r="F14" s="49"/>
      <c r="G14" s="49"/>
      <c r="H14" s="49"/>
      <c r="I14" s="49"/>
    </row>
    <row r="15" s="47" customFormat="1" ht="15.15" hidden="1" spans="1:11">
      <c r="A15" s="53" t="s">
        <v>48</v>
      </c>
      <c r="B15" s="54">
        <v>40</v>
      </c>
      <c r="C15" s="54">
        <v>40</v>
      </c>
      <c r="D15" s="54"/>
      <c r="E15" s="54"/>
      <c r="F15" s="54">
        <v>40</v>
      </c>
      <c r="G15" s="54"/>
      <c r="H15" s="54"/>
      <c r="I15" s="54"/>
      <c r="K15" s="47">
        <v>20</v>
      </c>
    </row>
    <row r="16" s="46" customFormat="1" hidden="1" spans="1:11">
      <c r="A16" s="57" t="s">
        <v>51</v>
      </c>
      <c r="B16" s="51"/>
      <c r="C16" s="51">
        <v>20</v>
      </c>
      <c r="D16" s="51"/>
      <c r="E16" s="51"/>
      <c r="F16" s="51">
        <v>10</v>
      </c>
      <c r="G16" s="51"/>
      <c r="H16" s="51"/>
      <c r="I16" s="51"/>
      <c r="K16" s="46">
        <v>20</v>
      </c>
    </row>
    <row r="17" s="47" customFormat="1" ht="15.15" hidden="1" spans="1:10">
      <c r="A17" s="53" t="s">
        <v>55</v>
      </c>
      <c r="B17" s="54"/>
      <c r="C17" s="54">
        <v>10</v>
      </c>
      <c r="D17" s="54"/>
      <c r="E17" s="54"/>
      <c r="F17" s="54">
        <v>20</v>
      </c>
      <c r="G17" s="54"/>
      <c r="H17" s="54"/>
      <c r="I17" s="54"/>
    </row>
    <row r="18" s="46" customFormat="1" hidden="1" spans="1:10">
      <c r="A18" s="50" t="s">
        <v>59</v>
      </c>
      <c r="B18" s="51"/>
      <c r="C18" s="51">
        <v>30</v>
      </c>
      <c r="D18" s="51"/>
      <c r="E18" s="51"/>
      <c r="F18" s="51">
        <v>20</v>
      </c>
      <c r="G18" s="51"/>
      <c r="H18" s="51"/>
      <c r="I18" s="51"/>
    </row>
    <row r="19" s="47" customFormat="1" ht="15.15" hidden="1" spans="1:10">
      <c r="A19" s="53" t="s">
        <v>63</v>
      </c>
      <c r="B19" s="54"/>
      <c r="C19" s="54">
        <v>20</v>
      </c>
      <c r="D19" s="54"/>
      <c r="E19" s="54"/>
      <c r="F19" s="54">
        <v>30</v>
      </c>
      <c r="G19" s="54"/>
      <c r="H19" s="54"/>
      <c r="I19" s="54"/>
    </row>
    <row r="20" s="46" customFormat="1" hidden="1" spans="1:10">
      <c r="A20" s="50" t="s">
        <v>64</v>
      </c>
      <c r="B20" s="51"/>
      <c r="C20" s="51">
        <v>40</v>
      </c>
      <c r="D20" s="51"/>
      <c r="E20" s="51"/>
      <c r="F20" s="51">
        <v>30</v>
      </c>
      <c r="G20" s="51"/>
      <c r="H20" s="51"/>
      <c r="I20" s="51"/>
    </row>
    <row r="21" s="47" customFormat="1" ht="15.15" hidden="1" spans="1:10">
      <c r="A21" s="53" t="s">
        <v>65</v>
      </c>
      <c r="B21" s="54"/>
      <c r="C21" s="54">
        <v>30</v>
      </c>
      <c r="D21" s="54"/>
      <c r="E21" s="54"/>
      <c r="F21" s="54">
        <v>40</v>
      </c>
      <c r="G21" s="54"/>
      <c r="H21" s="54"/>
      <c r="I21" s="54"/>
    </row>
    <row r="22" hidden="1" spans="1:10">
      <c r="A22" s="52" t="s">
        <v>66</v>
      </c>
      <c r="B22" s="49"/>
      <c r="C22" s="49">
        <v>50</v>
      </c>
      <c r="D22" s="49"/>
      <c r="E22" s="49"/>
      <c r="F22" s="49">
        <v>40</v>
      </c>
      <c r="G22" s="49"/>
      <c r="H22" s="49"/>
      <c r="I22" s="49"/>
    </row>
    <row r="23" s="47" customFormat="1" ht="15.15" hidden="1" spans="1:10">
      <c r="A23" s="53" t="s">
        <v>178</v>
      </c>
      <c r="B23" s="54"/>
      <c r="C23" s="54">
        <v>40</v>
      </c>
      <c r="D23" s="54"/>
      <c r="E23" s="54"/>
      <c r="F23" s="54">
        <v>50</v>
      </c>
      <c r="G23" s="54"/>
      <c r="H23" s="54"/>
      <c r="I23" s="54"/>
    </row>
    <row r="24" ht="15.15" hidden="1"/>
    <row r="25" s="46" customFormat="1" spans="1:10">
      <c r="A25" s="58" t="s">
        <v>74</v>
      </c>
      <c r="B25" s="46">
        <v>10</v>
      </c>
      <c r="D25" s="46">
        <v>20</v>
      </c>
      <c r="G25" s="51">
        <v>5</v>
      </c>
      <c r="J25" s="51">
        <v>10</v>
      </c>
    </row>
    <row r="26" spans="1:10">
      <c r="A26" s="59" t="s">
        <v>78</v>
      </c>
      <c r="B26" s="1">
        <v>20</v>
      </c>
      <c r="D26" s="49">
        <v>30</v>
      </c>
      <c r="G26" s="49">
        <v>10</v>
      </c>
      <c r="J26" s="49">
        <v>20</v>
      </c>
    </row>
    <row r="27" spans="1:10">
      <c r="A27" s="59" t="s">
        <v>82</v>
      </c>
      <c r="B27" s="1">
        <v>30</v>
      </c>
      <c r="D27" s="1">
        <v>40</v>
      </c>
      <c r="G27" s="60">
        <v>15</v>
      </c>
      <c r="J27" s="60">
        <v>30</v>
      </c>
    </row>
    <row r="28" spans="1:10">
      <c r="A28" s="59" t="s">
        <v>90</v>
      </c>
      <c r="B28" s="1">
        <v>40</v>
      </c>
      <c r="D28" s="49">
        <v>50</v>
      </c>
      <c r="G28" s="49">
        <v>20</v>
      </c>
      <c r="J28" s="49">
        <v>40</v>
      </c>
    </row>
    <row r="29" spans="1:10">
      <c r="A29" s="59" t="s">
        <v>98</v>
      </c>
      <c r="B29" s="1">
        <v>50</v>
      </c>
      <c r="D29" s="61">
        <v>60</v>
      </c>
      <c r="G29" s="60">
        <v>25</v>
      </c>
      <c r="J29" s="60">
        <v>50</v>
      </c>
    </row>
    <row r="30" s="47" customFormat="1" ht="15.15" spans="1:10">
      <c r="A30" s="62" t="s">
        <v>104</v>
      </c>
      <c r="B30" s="47">
        <v>60</v>
      </c>
      <c r="D30" s="47">
        <v>70</v>
      </c>
      <c r="G30" s="54">
        <v>30</v>
      </c>
      <c r="J30" s="54">
        <v>60</v>
      </c>
    </row>
    <row r="31" s="48" customFormat="1" spans="1:10">
      <c r="A31" s="63" t="s">
        <v>83</v>
      </c>
      <c r="B31" s="48">
        <v>5</v>
      </c>
      <c r="D31" s="1">
        <v>20</v>
      </c>
      <c r="G31" s="60">
        <v>15</v>
      </c>
      <c r="J31" s="60">
        <v>60</v>
      </c>
    </row>
    <row r="32" spans="1:10">
      <c r="A32" s="59" t="s">
        <v>91</v>
      </c>
      <c r="B32" s="1">
        <v>10</v>
      </c>
      <c r="D32" s="49">
        <v>25</v>
      </c>
      <c r="G32" s="49">
        <v>20</v>
      </c>
      <c r="J32" s="49">
        <v>80</v>
      </c>
    </row>
    <row r="33" spans="1:11">
      <c r="A33" s="59" t="s">
        <v>99</v>
      </c>
      <c r="B33" s="1">
        <v>15</v>
      </c>
      <c r="D33" s="61">
        <v>30</v>
      </c>
      <c r="G33" s="60">
        <v>25</v>
      </c>
      <c r="J33" s="60">
        <v>100</v>
      </c>
    </row>
    <row r="34" s="47" customFormat="1" ht="15.15" spans="1:11">
      <c r="A34" s="62" t="s">
        <v>105</v>
      </c>
      <c r="B34" s="47">
        <v>20</v>
      </c>
      <c r="D34" s="47">
        <v>35</v>
      </c>
      <c r="G34" s="54">
        <v>30</v>
      </c>
      <c r="J34" s="54">
        <v>120</v>
      </c>
    </row>
    <row r="35" s="46" customFormat="1" spans="1:11">
      <c r="A35" s="58" t="s">
        <v>75</v>
      </c>
      <c r="B35" s="46">
        <v>20</v>
      </c>
      <c r="C35" s="46"/>
      <c r="D35" s="46">
        <v>10</v>
      </c>
      <c r="E35" s="46"/>
      <c r="F35" s="46"/>
      <c r="G35" s="51">
        <v>5</v>
      </c>
      <c r="J35" s="51">
        <v>5</v>
      </c>
      <c r="K35" s="51">
        <v>5</v>
      </c>
    </row>
    <row r="36" spans="1:11">
      <c r="A36" s="59" t="s">
        <v>79</v>
      </c>
      <c r="B36" s="49">
        <v>30</v>
      </c>
      <c r="D36" s="1">
        <v>20</v>
      </c>
      <c r="G36" s="49">
        <v>10</v>
      </c>
      <c r="J36" s="49">
        <v>10</v>
      </c>
      <c r="K36" s="49">
        <v>10</v>
      </c>
    </row>
    <row r="37" spans="1:11">
      <c r="A37" s="59" t="s">
        <v>84</v>
      </c>
      <c r="B37" s="1">
        <v>40</v>
      </c>
      <c r="D37" s="1">
        <v>30</v>
      </c>
      <c r="G37" s="60">
        <v>15</v>
      </c>
      <c r="J37" s="60">
        <v>15</v>
      </c>
      <c r="K37" s="60">
        <v>15</v>
      </c>
    </row>
    <row r="38" spans="1:11">
      <c r="A38" s="59" t="s">
        <v>92</v>
      </c>
      <c r="B38" s="49">
        <v>50</v>
      </c>
      <c r="D38" s="1">
        <v>40</v>
      </c>
      <c r="G38" s="49">
        <v>20</v>
      </c>
      <c r="J38" s="49">
        <v>20</v>
      </c>
      <c r="K38" s="49">
        <v>20</v>
      </c>
    </row>
    <row r="39" spans="1:11">
      <c r="A39" s="59" t="s">
        <v>100</v>
      </c>
      <c r="B39" s="61">
        <v>60</v>
      </c>
      <c r="D39" s="1">
        <v>50</v>
      </c>
      <c r="G39" s="60">
        <v>25</v>
      </c>
      <c r="J39" s="60">
        <v>25</v>
      </c>
      <c r="K39" s="60">
        <v>25</v>
      </c>
    </row>
    <row r="40" s="47" customFormat="1" ht="15.15" spans="1:11">
      <c r="A40" s="62" t="s">
        <v>106</v>
      </c>
      <c r="B40" s="47">
        <v>70</v>
      </c>
      <c r="D40" s="47">
        <v>60</v>
      </c>
      <c r="G40" s="54">
        <v>30</v>
      </c>
      <c r="J40" s="54">
        <v>30</v>
      </c>
      <c r="K40" s="54">
        <v>30</v>
      </c>
    </row>
    <row r="41" s="46" customFormat="1" spans="1:11">
      <c r="A41" s="58" t="s">
        <v>85</v>
      </c>
      <c r="B41" s="46">
        <v>10</v>
      </c>
      <c r="D41" s="1">
        <v>15</v>
      </c>
      <c r="G41" s="60">
        <v>15</v>
      </c>
      <c r="J41" s="60">
        <v>30</v>
      </c>
      <c r="K41" s="60">
        <v>30</v>
      </c>
    </row>
    <row r="42" spans="1:11">
      <c r="A42" s="59" t="s">
        <v>93</v>
      </c>
      <c r="B42" s="1">
        <v>15</v>
      </c>
      <c r="D42" s="1">
        <v>20</v>
      </c>
      <c r="G42" s="49">
        <v>20</v>
      </c>
      <c r="J42" s="49">
        <v>40</v>
      </c>
      <c r="K42" s="49">
        <v>40</v>
      </c>
    </row>
    <row r="43" spans="1:11">
      <c r="A43" s="59" t="s">
        <v>101</v>
      </c>
      <c r="B43" s="1">
        <v>20</v>
      </c>
      <c r="D43" s="1">
        <v>25</v>
      </c>
      <c r="G43" s="60">
        <v>25</v>
      </c>
      <c r="J43" s="60">
        <v>50</v>
      </c>
      <c r="K43" s="60">
        <v>50</v>
      </c>
    </row>
    <row r="44" s="47" customFormat="1" ht="15.15" spans="1:11">
      <c r="A44" s="62" t="s">
        <v>107</v>
      </c>
      <c r="B44" s="47">
        <v>25</v>
      </c>
      <c r="D44" s="47">
        <v>30</v>
      </c>
      <c r="G44" s="54">
        <v>30</v>
      </c>
      <c r="J44" s="54">
        <v>60</v>
      </c>
      <c r="K44" s="54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topLeftCell="G1" workbookViewId="0">
      <selection activeCell="M10" sqref="M10"/>
    </sheetView>
  </sheetViews>
  <sheetFormatPr defaultColWidth="8.88888888888889" defaultRowHeight="14.4"/>
  <cols>
    <col min="1" max="1" width="10.7777777777778" style="1" customWidth="1"/>
  </cols>
  <sheetData>
    <row r="1" spans="1:13"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L1" s="2" t="s">
        <v>186</v>
      </c>
      <c r="M1" s="3"/>
    </row>
    <row r="2" spans="1:13">
      <c r="A2" s="1" t="s">
        <v>187</v>
      </c>
      <c r="B2">
        <v>200</v>
      </c>
      <c r="C2">
        <v>20</v>
      </c>
      <c r="D2">
        <v>20</v>
      </c>
      <c r="E2">
        <v>10</v>
      </c>
      <c r="F2">
        <v>10</v>
      </c>
      <c r="G2">
        <v>10</v>
      </c>
      <c r="H2">
        <v>10</v>
      </c>
      <c r="L2" s="4" t="s">
        <v>188</v>
      </c>
      <c r="M2" s="5" t="s">
        <v>189</v>
      </c>
    </row>
    <row r="3" spans="1:13">
      <c r="A3" s="1" t="s">
        <v>190</v>
      </c>
      <c r="B3">
        <v>1000</v>
      </c>
      <c r="C3">
        <v>300</v>
      </c>
      <c r="D3">
        <v>300</v>
      </c>
      <c r="E3">
        <v>100</v>
      </c>
      <c r="F3">
        <v>100</v>
      </c>
      <c r="G3">
        <v>100</v>
      </c>
      <c r="H3">
        <v>100</v>
      </c>
      <c r="L3" s="4" t="s">
        <v>191</v>
      </c>
      <c r="M3" s="5" t="s">
        <v>192</v>
      </c>
    </row>
    <row r="4" spans="1:13">
      <c r="A4" s="1" t="s">
        <v>193</v>
      </c>
      <c r="B4">
        <f t="shared" ref="B4:H4" si="0">B3-B2</f>
        <v>800</v>
      </c>
      <c r="C4">
        <f t="shared" si="0"/>
        <v>280</v>
      </c>
      <c r="D4">
        <f t="shared" si="0"/>
        <v>280</v>
      </c>
      <c r="E4">
        <f t="shared" si="0"/>
        <v>90</v>
      </c>
      <c r="F4">
        <f t="shared" si="0"/>
        <v>90</v>
      </c>
      <c r="G4">
        <f t="shared" si="0"/>
        <v>90</v>
      </c>
      <c r="H4">
        <f t="shared" si="0"/>
        <v>90</v>
      </c>
      <c r="L4" s="4" t="s">
        <v>194</v>
      </c>
      <c r="M4" s="5"/>
    </row>
    <row r="5" spans="1:13">
      <c r="A5" s="1" t="s">
        <v>195</v>
      </c>
      <c r="B5">
        <f t="shared" ref="B5:H5" si="1">B4/5</f>
        <v>160</v>
      </c>
      <c r="C5">
        <f t="shared" si="1"/>
        <v>56</v>
      </c>
      <c r="D5">
        <f t="shared" si="1"/>
        <v>56</v>
      </c>
      <c r="E5">
        <f t="shared" si="1"/>
        <v>18</v>
      </c>
      <c r="F5">
        <f t="shared" si="1"/>
        <v>18</v>
      </c>
      <c r="G5">
        <f t="shared" si="1"/>
        <v>18</v>
      </c>
      <c r="H5">
        <f t="shared" si="1"/>
        <v>18</v>
      </c>
      <c r="L5" s="4" t="s">
        <v>188</v>
      </c>
      <c r="M5" s="5" t="s">
        <v>196</v>
      </c>
    </row>
    <row r="6" spans="1:13">
      <c r="A6" s="1" t="s">
        <v>197</v>
      </c>
      <c r="B6">
        <f t="shared" ref="B6:H6" si="2">B2</f>
        <v>200</v>
      </c>
      <c r="C6">
        <f t="shared" si="2"/>
        <v>20</v>
      </c>
      <c r="D6">
        <f t="shared" si="2"/>
        <v>20</v>
      </c>
      <c r="E6">
        <f t="shared" si="2"/>
        <v>10</v>
      </c>
      <c r="F6">
        <f t="shared" si="2"/>
        <v>10</v>
      </c>
      <c r="G6">
        <f t="shared" si="2"/>
        <v>10</v>
      </c>
      <c r="H6">
        <f t="shared" si="2"/>
        <v>10</v>
      </c>
      <c r="L6" s="4" t="s">
        <v>191</v>
      </c>
      <c r="M6" s="5" t="s">
        <v>198</v>
      </c>
    </row>
    <row r="7" spans="1:13">
      <c r="A7" s="1" t="s">
        <v>199</v>
      </c>
      <c r="B7">
        <f t="shared" ref="B7:H7" si="3">B6+B$5</f>
        <v>360</v>
      </c>
      <c r="C7">
        <f t="shared" si="3"/>
        <v>76</v>
      </c>
      <c r="D7">
        <f t="shared" si="3"/>
        <v>76</v>
      </c>
      <c r="E7">
        <f t="shared" si="3"/>
        <v>28</v>
      </c>
      <c r="F7">
        <f t="shared" si="3"/>
        <v>28</v>
      </c>
      <c r="G7">
        <f t="shared" si="3"/>
        <v>28</v>
      </c>
      <c r="H7">
        <f t="shared" si="3"/>
        <v>28</v>
      </c>
      <c r="L7" s="6" t="s">
        <v>200</v>
      </c>
      <c r="M7" s="5"/>
    </row>
    <row r="8" spans="1:13">
      <c r="A8" s="1" t="s">
        <v>201</v>
      </c>
      <c r="B8">
        <f t="shared" ref="B8:H8" si="4">B7+B$5</f>
        <v>520</v>
      </c>
      <c r="C8">
        <f t="shared" si="4"/>
        <v>132</v>
      </c>
      <c r="D8">
        <f t="shared" si="4"/>
        <v>132</v>
      </c>
      <c r="E8">
        <f t="shared" si="4"/>
        <v>46</v>
      </c>
      <c r="F8">
        <f t="shared" si="4"/>
        <v>46</v>
      </c>
      <c r="G8">
        <f t="shared" si="4"/>
        <v>46</v>
      </c>
      <c r="H8">
        <f t="shared" si="4"/>
        <v>46</v>
      </c>
      <c r="L8" s="4" t="s">
        <v>188</v>
      </c>
      <c r="M8" s="5" t="s">
        <v>202</v>
      </c>
    </row>
    <row r="9" spans="1:13">
      <c r="A9" s="1" t="s">
        <v>203</v>
      </c>
      <c r="B9">
        <f t="shared" ref="B9:H9" si="5">B8+B$5</f>
        <v>680</v>
      </c>
      <c r="C9">
        <f t="shared" si="5"/>
        <v>188</v>
      </c>
      <c r="D9">
        <f t="shared" si="5"/>
        <v>188</v>
      </c>
      <c r="E9">
        <f t="shared" si="5"/>
        <v>64</v>
      </c>
      <c r="F9">
        <f t="shared" si="5"/>
        <v>64</v>
      </c>
      <c r="G9">
        <f t="shared" si="5"/>
        <v>64</v>
      </c>
      <c r="H9">
        <f t="shared" si="5"/>
        <v>64</v>
      </c>
      <c r="L9" s="4" t="s">
        <v>191</v>
      </c>
      <c r="M9" s="5" t="s">
        <v>204</v>
      </c>
    </row>
    <row r="10" spans="1:13">
      <c r="A10" s="1" t="s">
        <v>205</v>
      </c>
      <c r="B10">
        <f t="shared" ref="B10:H10" si="6">B9+B$5</f>
        <v>840</v>
      </c>
      <c r="C10">
        <f t="shared" si="6"/>
        <v>244</v>
      </c>
      <c r="D10">
        <f t="shared" si="6"/>
        <v>244</v>
      </c>
      <c r="E10">
        <f t="shared" si="6"/>
        <v>82</v>
      </c>
      <c r="F10">
        <f t="shared" si="6"/>
        <v>82</v>
      </c>
      <c r="G10">
        <f t="shared" si="6"/>
        <v>82</v>
      </c>
      <c r="H10">
        <f t="shared" si="6"/>
        <v>82</v>
      </c>
      <c r="L10" s="4" t="s">
        <v>206</v>
      </c>
      <c r="M10" s="5" t="s">
        <v>207</v>
      </c>
    </row>
    <row r="11" ht="15.15" spans="1:13">
      <c r="A11" s="1" t="s">
        <v>208</v>
      </c>
      <c r="B11">
        <f t="shared" ref="B11:H11" si="7">B10+B$5</f>
        <v>1000</v>
      </c>
      <c r="C11">
        <f t="shared" si="7"/>
        <v>300</v>
      </c>
      <c r="D11">
        <f t="shared" si="7"/>
        <v>300</v>
      </c>
      <c r="E11">
        <f t="shared" si="7"/>
        <v>100</v>
      </c>
      <c r="F11">
        <f t="shared" si="7"/>
        <v>100</v>
      </c>
      <c r="G11">
        <f t="shared" si="7"/>
        <v>100</v>
      </c>
      <c r="H11">
        <f t="shared" si="7"/>
        <v>100</v>
      </c>
      <c r="L11" s="4" t="s">
        <v>209</v>
      </c>
      <c r="M11" s="5" t="s">
        <v>210</v>
      </c>
    </row>
    <row r="12" ht="15.15" spans="1:13">
      <c r="A12" s="7"/>
      <c r="B12" s="8" t="s">
        <v>188</v>
      </c>
      <c r="C12" s="8" t="s">
        <v>191</v>
      </c>
      <c r="D12" s="8" t="s">
        <v>206</v>
      </c>
      <c r="E12" s="8" t="s">
        <v>209</v>
      </c>
      <c r="F12" s="8" t="s">
        <v>211</v>
      </c>
      <c r="G12" s="8" t="s">
        <v>212</v>
      </c>
      <c r="H12" s="8" t="s">
        <v>213</v>
      </c>
      <c r="I12" s="9" t="s">
        <v>214</v>
      </c>
      <c r="L12" s="6" t="s">
        <v>215</v>
      </c>
      <c r="M12" s="5"/>
    </row>
    <row r="13" spans="1:13">
      <c r="A13" s="10" t="s">
        <v>197</v>
      </c>
      <c r="B13" s="11" t="s">
        <v>216</v>
      </c>
      <c r="C13" s="9" t="s">
        <v>217</v>
      </c>
      <c r="D13" s="8" t="s">
        <v>218</v>
      </c>
      <c r="E13" s="8" t="s">
        <v>218</v>
      </c>
      <c r="F13" s="8" t="s">
        <v>218</v>
      </c>
      <c r="G13" s="8" t="s">
        <v>218</v>
      </c>
      <c r="H13" s="8" t="s">
        <v>218</v>
      </c>
      <c r="I13" s="9" t="s">
        <v>218</v>
      </c>
      <c r="J13" s="12">
        <v>0.1</v>
      </c>
      <c r="L13" s="4" t="s">
        <v>188</v>
      </c>
      <c r="M13" s="5" t="s">
        <v>219</v>
      </c>
    </row>
    <row r="14" ht="15.15" spans="1:13">
      <c r="A14" s="10" t="s">
        <v>199</v>
      </c>
      <c r="B14" s="13" t="s">
        <v>216</v>
      </c>
      <c r="C14" s="14" t="s">
        <v>217</v>
      </c>
      <c r="D14" s="15" t="s">
        <v>218</v>
      </c>
      <c r="E14" s="15" t="s">
        <v>218</v>
      </c>
      <c r="F14" s="15" t="s">
        <v>218</v>
      </c>
      <c r="G14" s="15" t="s">
        <v>218</v>
      </c>
      <c r="H14" s="15" t="s">
        <v>218</v>
      </c>
      <c r="I14" s="16" t="s">
        <v>218</v>
      </c>
      <c r="J14" s="12">
        <v>0.1</v>
      </c>
      <c r="L14" s="4" t="s">
        <v>191</v>
      </c>
      <c r="M14" s="5" t="s">
        <v>220</v>
      </c>
    </row>
    <row r="15" spans="1:13">
      <c r="A15" s="10" t="s">
        <v>201</v>
      </c>
      <c r="B15" s="11" t="s">
        <v>216</v>
      </c>
      <c r="C15" s="9" t="s">
        <v>217</v>
      </c>
      <c r="D15" s="11" t="s">
        <v>221</v>
      </c>
      <c r="E15" s="9" t="s">
        <v>222</v>
      </c>
      <c r="F15" s="15" t="s">
        <v>218</v>
      </c>
      <c r="G15" s="15" t="s">
        <v>218</v>
      </c>
      <c r="H15" s="15" t="s">
        <v>218</v>
      </c>
      <c r="I15" s="16" t="s">
        <v>218</v>
      </c>
      <c r="J15" s="12">
        <v>0.15</v>
      </c>
      <c r="L15" s="4" t="s">
        <v>206</v>
      </c>
      <c r="M15" s="5" t="s">
        <v>223</v>
      </c>
    </row>
    <row r="16" ht="15.15" spans="1:13">
      <c r="A16" s="10" t="s">
        <v>203</v>
      </c>
      <c r="B16" s="13" t="s">
        <v>216</v>
      </c>
      <c r="C16" s="14" t="s">
        <v>217</v>
      </c>
      <c r="D16" s="13" t="s">
        <v>221</v>
      </c>
      <c r="E16" s="14" t="s">
        <v>222</v>
      </c>
      <c r="F16" s="15" t="s">
        <v>218</v>
      </c>
      <c r="G16" s="15" t="s">
        <v>218</v>
      </c>
      <c r="H16" s="15" t="s">
        <v>218</v>
      </c>
      <c r="I16" s="16" t="s">
        <v>218</v>
      </c>
      <c r="J16" s="12">
        <v>0.15</v>
      </c>
      <c r="L16" s="4" t="s">
        <v>209</v>
      </c>
      <c r="M16" s="5" t="s">
        <v>224</v>
      </c>
    </row>
    <row r="17" spans="1:13">
      <c r="A17" s="10" t="s">
        <v>205</v>
      </c>
      <c r="B17" s="17" t="s">
        <v>216</v>
      </c>
      <c r="C17" s="16" t="s">
        <v>217</v>
      </c>
      <c r="D17" s="17" t="s">
        <v>221</v>
      </c>
      <c r="E17" s="16" t="s">
        <v>222</v>
      </c>
      <c r="F17" s="11" t="s">
        <v>225</v>
      </c>
      <c r="G17" s="9" t="s">
        <v>226</v>
      </c>
      <c r="H17" s="15" t="s">
        <v>218</v>
      </c>
      <c r="I17" s="16" t="s">
        <v>218</v>
      </c>
      <c r="J17" s="12">
        <v>0.2</v>
      </c>
      <c r="L17" s="6" t="s">
        <v>227</v>
      </c>
      <c r="M17" s="5"/>
    </row>
    <row r="18" ht="15.15" spans="1:13">
      <c r="A18" s="18" t="s">
        <v>208</v>
      </c>
      <c r="B18" s="13" t="s">
        <v>216</v>
      </c>
      <c r="C18" s="14" t="s">
        <v>217</v>
      </c>
      <c r="D18" s="13" t="s">
        <v>221</v>
      </c>
      <c r="E18" s="14" t="s">
        <v>222</v>
      </c>
      <c r="F18" s="13" t="s">
        <v>225</v>
      </c>
      <c r="G18" s="14" t="s">
        <v>226</v>
      </c>
      <c r="H18" s="19" t="s">
        <v>218</v>
      </c>
      <c r="I18" s="14" t="s">
        <v>218</v>
      </c>
      <c r="J18" s="12">
        <v>0.2</v>
      </c>
      <c r="L18" s="4" t="s">
        <v>188</v>
      </c>
      <c r="M18" s="5" t="s">
        <v>228</v>
      </c>
    </row>
    <row r="19" ht="15.15" spans="1:13">
      <c r="L19" s="4" t="s">
        <v>191</v>
      </c>
      <c r="M19" s="5" t="s">
        <v>229</v>
      </c>
    </row>
    <row r="20" ht="15.15" spans="1:13">
      <c r="A20" s="20"/>
      <c r="B20" s="21" t="s">
        <v>179</v>
      </c>
      <c r="C20" s="21" t="s">
        <v>180</v>
      </c>
      <c r="D20" s="21" t="s">
        <v>181</v>
      </c>
      <c r="E20" s="21" t="s">
        <v>182</v>
      </c>
      <c r="F20" s="21" t="s">
        <v>183</v>
      </c>
      <c r="G20" s="21" t="s">
        <v>184</v>
      </c>
      <c r="H20" s="22" t="s">
        <v>185</v>
      </c>
      <c r="L20" s="4" t="s">
        <v>206</v>
      </c>
      <c r="M20" s="5" t="s">
        <v>230</v>
      </c>
    </row>
    <row r="21" spans="1:13">
      <c r="A21" s="4" t="s">
        <v>186</v>
      </c>
      <c r="B21" s="23">
        <v>200</v>
      </c>
      <c r="C21" s="24">
        <v>20</v>
      </c>
      <c r="D21" s="24">
        <v>20</v>
      </c>
      <c r="E21" s="24">
        <v>10</v>
      </c>
      <c r="F21" s="24">
        <v>10</v>
      </c>
      <c r="G21" s="24">
        <v>10</v>
      </c>
      <c r="H21" s="25">
        <v>10</v>
      </c>
      <c r="L21" s="4" t="s">
        <v>209</v>
      </c>
      <c r="M21" s="5" t="s">
        <v>231</v>
      </c>
    </row>
    <row r="22" spans="1:13">
      <c r="A22" s="4" t="s">
        <v>188</v>
      </c>
      <c r="B22" s="26">
        <v>200</v>
      </c>
      <c r="C22" s="27">
        <f>C$21*(1+$I22)</f>
        <v>22</v>
      </c>
      <c r="D22" s="27">
        <v>20</v>
      </c>
      <c r="E22" s="27">
        <v>10</v>
      </c>
      <c r="F22" s="27">
        <v>10</v>
      </c>
      <c r="G22" s="27">
        <v>10</v>
      </c>
      <c r="H22" s="28">
        <v>10</v>
      </c>
      <c r="I22" s="12">
        <v>0.1</v>
      </c>
      <c r="L22" s="4" t="s">
        <v>211</v>
      </c>
      <c r="M22" s="5" t="s">
        <v>232</v>
      </c>
    </row>
    <row r="23" spans="1:13">
      <c r="A23" s="4" t="s">
        <v>191</v>
      </c>
      <c r="B23" s="29">
        <v>200</v>
      </c>
      <c r="C23" s="30">
        <v>20</v>
      </c>
      <c r="D23" s="30">
        <f>D$21*(1+$I23)</f>
        <v>22</v>
      </c>
      <c r="E23" s="30">
        <v>10</v>
      </c>
      <c r="F23" s="30">
        <v>10</v>
      </c>
      <c r="G23" s="30">
        <v>10</v>
      </c>
      <c r="H23" s="31">
        <v>10</v>
      </c>
      <c r="I23" s="12">
        <v>0.1</v>
      </c>
      <c r="L23" s="4" t="s">
        <v>212</v>
      </c>
      <c r="M23" s="5" t="s">
        <v>233</v>
      </c>
    </row>
    <row r="24" spans="1:13">
      <c r="A24" s="4" t="s">
        <v>194</v>
      </c>
      <c r="B24" s="32">
        <v>360</v>
      </c>
      <c r="C24" s="33">
        <v>76</v>
      </c>
      <c r="D24" s="33">
        <v>76</v>
      </c>
      <c r="E24" s="33">
        <v>28</v>
      </c>
      <c r="F24" s="33">
        <v>28</v>
      </c>
      <c r="G24" s="33">
        <v>28</v>
      </c>
      <c r="H24" s="34">
        <v>28</v>
      </c>
      <c r="L24" s="6" t="s">
        <v>234</v>
      </c>
      <c r="M24" s="5"/>
    </row>
    <row r="25" spans="1:13">
      <c r="A25" s="4" t="s">
        <v>188</v>
      </c>
      <c r="B25" s="26">
        <v>360</v>
      </c>
      <c r="C25" s="27">
        <f>C$24*(1+$I25)</f>
        <v>83.6</v>
      </c>
      <c r="D25" s="27">
        <v>76</v>
      </c>
      <c r="E25" s="27">
        <v>28</v>
      </c>
      <c r="F25" s="27">
        <v>28</v>
      </c>
      <c r="G25" s="27">
        <v>28</v>
      </c>
      <c r="H25" s="28">
        <v>28</v>
      </c>
      <c r="I25" s="12">
        <v>0.1</v>
      </c>
      <c r="L25" s="4" t="s">
        <v>188</v>
      </c>
      <c r="M25" s="5" t="s">
        <v>235</v>
      </c>
    </row>
    <row r="26" spans="1:13">
      <c r="A26" s="4" t="s">
        <v>191</v>
      </c>
      <c r="B26" s="35">
        <v>360</v>
      </c>
      <c r="C26" s="36">
        <v>76</v>
      </c>
      <c r="D26" s="36">
        <f>D$24*(1+$I26)</f>
        <v>83.6</v>
      </c>
      <c r="E26" s="36">
        <v>28</v>
      </c>
      <c r="F26" s="36">
        <v>28</v>
      </c>
      <c r="G26" s="36">
        <v>28</v>
      </c>
      <c r="H26" s="37">
        <v>28</v>
      </c>
      <c r="I26" s="12">
        <v>0.1</v>
      </c>
      <c r="L26" s="4" t="s">
        <v>191</v>
      </c>
      <c r="M26" s="5" t="s">
        <v>236</v>
      </c>
    </row>
    <row r="27" spans="1:13">
      <c r="A27" s="6" t="s">
        <v>200</v>
      </c>
      <c r="B27" s="32">
        <v>520</v>
      </c>
      <c r="C27" s="33">
        <v>132</v>
      </c>
      <c r="D27" s="33">
        <v>132</v>
      </c>
      <c r="E27" s="33">
        <v>46</v>
      </c>
      <c r="F27" s="33">
        <v>46</v>
      </c>
      <c r="G27" s="33">
        <v>46</v>
      </c>
      <c r="H27" s="34">
        <v>46</v>
      </c>
      <c r="L27" s="4" t="s">
        <v>206</v>
      </c>
      <c r="M27" s="5" t="s">
        <v>237</v>
      </c>
    </row>
    <row r="28" spans="1:13">
      <c r="A28" s="4" t="s">
        <v>188</v>
      </c>
      <c r="B28" s="26">
        <v>520</v>
      </c>
      <c r="C28" s="27">
        <f>C$27*(1+$I28)</f>
        <v>151.8</v>
      </c>
      <c r="D28" s="27">
        <v>132</v>
      </c>
      <c r="E28" s="27">
        <v>46</v>
      </c>
      <c r="F28" s="27">
        <v>46</v>
      </c>
      <c r="G28" s="27">
        <v>46</v>
      </c>
      <c r="H28" s="28">
        <v>46</v>
      </c>
      <c r="I28" s="12">
        <v>0.15</v>
      </c>
      <c r="L28" s="4" t="s">
        <v>209</v>
      </c>
      <c r="M28" s="5" t="s">
        <v>238</v>
      </c>
    </row>
    <row r="29" spans="1:13">
      <c r="A29" s="4" t="s">
        <v>191</v>
      </c>
      <c r="B29" s="38">
        <v>520</v>
      </c>
      <c r="C29" s="39">
        <v>132</v>
      </c>
      <c r="D29" s="39">
        <f>D$27*(1+$I29)</f>
        <v>151.8</v>
      </c>
      <c r="E29" s="39">
        <v>46</v>
      </c>
      <c r="F29" s="39">
        <v>46</v>
      </c>
      <c r="G29" s="39">
        <v>46</v>
      </c>
      <c r="H29" s="40">
        <v>46</v>
      </c>
      <c r="I29" s="12">
        <v>0.15</v>
      </c>
      <c r="L29" s="4" t="s">
        <v>211</v>
      </c>
      <c r="M29" s="5" t="s">
        <v>239</v>
      </c>
    </row>
    <row r="30" ht="15.15" spans="1:13">
      <c r="A30" s="4" t="s">
        <v>206</v>
      </c>
      <c r="B30" s="38">
        <v>520</v>
      </c>
      <c r="C30" s="27">
        <f>C$27*(1+$I30/2)</f>
        <v>141.9</v>
      </c>
      <c r="D30" s="39">
        <v>132</v>
      </c>
      <c r="E30" s="39">
        <v>46</v>
      </c>
      <c r="F30" s="39">
        <v>46</v>
      </c>
      <c r="G30" s="39">
        <f>G$27*(1+$I30/2)</f>
        <v>49.45</v>
      </c>
      <c r="H30" s="40">
        <v>46</v>
      </c>
      <c r="I30" s="12">
        <v>0.15</v>
      </c>
      <c r="L30" s="41" t="s">
        <v>212</v>
      </c>
      <c r="M30" s="42" t="s">
        <v>240</v>
      </c>
    </row>
    <row r="31" spans="1:13">
      <c r="A31" s="4" t="s">
        <v>209</v>
      </c>
      <c r="B31" s="35">
        <v>520</v>
      </c>
      <c r="C31" s="36">
        <v>132</v>
      </c>
      <c r="D31" s="27">
        <f>D$27*(1+$I31/2)</f>
        <v>141.9</v>
      </c>
      <c r="E31" s="36">
        <v>46</v>
      </c>
      <c r="F31" s="36">
        <v>46</v>
      </c>
      <c r="G31" s="36">
        <v>46</v>
      </c>
      <c r="H31" s="37">
        <f>H$27*(1+$I31/2)</f>
        <v>49.45</v>
      </c>
      <c r="I31" s="12">
        <v>0.15</v>
      </c>
    </row>
    <row r="32" spans="1:13">
      <c r="A32" s="6" t="s">
        <v>215</v>
      </c>
      <c r="B32" s="32">
        <v>680</v>
      </c>
      <c r="C32" s="33">
        <v>188</v>
      </c>
      <c r="D32" s="33">
        <v>188</v>
      </c>
      <c r="E32" s="33">
        <v>64</v>
      </c>
      <c r="F32" s="33">
        <v>64</v>
      </c>
      <c r="G32" s="33">
        <v>64</v>
      </c>
      <c r="H32" s="34">
        <v>64</v>
      </c>
    </row>
    <row r="33" spans="1:9">
      <c r="A33" s="4" t="s">
        <v>188</v>
      </c>
      <c r="B33" s="26">
        <v>680</v>
      </c>
      <c r="C33" s="27">
        <f>C$32*(1+$I33)</f>
        <v>216.2</v>
      </c>
      <c r="D33" s="27">
        <v>188</v>
      </c>
      <c r="E33" s="27">
        <v>64</v>
      </c>
      <c r="F33" s="27">
        <v>64</v>
      </c>
      <c r="G33" s="27">
        <v>64</v>
      </c>
      <c r="H33" s="28">
        <v>64</v>
      </c>
      <c r="I33" s="12">
        <v>0.15</v>
      </c>
    </row>
    <row r="34" spans="1:9">
      <c r="A34" s="4" t="s">
        <v>191</v>
      </c>
      <c r="B34" s="38">
        <v>680</v>
      </c>
      <c r="C34" s="39">
        <v>188</v>
      </c>
      <c r="D34" s="39">
        <f>D$32*(1+$I34)</f>
        <v>216.2</v>
      </c>
      <c r="E34" s="39">
        <v>64</v>
      </c>
      <c r="F34" s="39">
        <v>64</v>
      </c>
      <c r="G34" s="39">
        <v>64</v>
      </c>
      <c r="H34" s="40">
        <v>64</v>
      </c>
      <c r="I34" s="12">
        <v>0.15</v>
      </c>
    </row>
    <row r="35" spans="1:9">
      <c r="A35" s="4" t="s">
        <v>206</v>
      </c>
      <c r="B35" s="38">
        <v>680</v>
      </c>
      <c r="C35" s="27">
        <f>C$32*(1+$I35/2)</f>
        <v>202.1</v>
      </c>
      <c r="D35" s="39">
        <v>188</v>
      </c>
      <c r="E35" s="39">
        <v>64</v>
      </c>
      <c r="F35" s="39">
        <v>64</v>
      </c>
      <c r="G35" s="39">
        <f>G$32*(1+$I35/2)</f>
        <v>68.8</v>
      </c>
      <c r="H35" s="40">
        <v>64</v>
      </c>
      <c r="I35" s="12">
        <v>0.15</v>
      </c>
    </row>
    <row r="36" spans="1:9">
      <c r="A36" s="4" t="s">
        <v>209</v>
      </c>
      <c r="B36" s="35">
        <v>680</v>
      </c>
      <c r="C36" s="36">
        <v>188</v>
      </c>
      <c r="D36" s="27">
        <f>D$32*(1+$I36/2)</f>
        <v>202.1</v>
      </c>
      <c r="E36" s="36">
        <v>64</v>
      </c>
      <c r="F36" s="36">
        <v>64</v>
      </c>
      <c r="G36" s="36">
        <v>64</v>
      </c>
      <c r="H36" s="37">
        <f>H$32*(1+$I36/2)</f>
        <v>68.8</v>
      </c>
      <c r="I36" s="12">
        <v>0.15</v>
      </c>
    </row>
    <row r="37" spans="1:9">
      <c r="A37" s="6" t="s">
        <v>227</v>
      </c>
      <c r="B37" s="32">
        <v>840</v>
      </c>
      <c r="C37" s="33">
        <v>244</v>
      </c>
      <c r="D37" s="33">
        <v>244</v>
      </c>
      <c r="E37" s="33">
        <v>82</v>
      </c>
      <c r="F37" s="33">
        <v>82</v>
      </c>
      <c r="G37" s="33">
        <v>82</v>
      </c>
      <c r="H37" s="34">
        <v>82</v>
      </c>
    </row>
    <row r="38" spans="1:9">
      <c r="A38" s="4" t="s">
        <v>188</v>
      </c>
      <c r="B38" s="26">
        <v>840</v>
      </c>
      <c r="C38" s="27">
        <f>C$37*(1+$I38)</f>
        <v>292.8</v>
      </c>
      <c r="D38" s="27">
        <v>244</v>
      </c>
      <c r="E38" s="27">
        <v>82</v>
      </c>
      <c r="F38" s="27">
        <v>82</v>
      </c>
      <c r="G38" s="27">
        <v>82</v>
      </c>
      <c r="H38" s="28">
        <v>82</v>
      </c>
      <c r="I38" s="12">
        <v>0.2</v>
      </c>
    </row>
    <row r="39" spans="1:9">
      <c r="A39" s="4" t="s">
        <v>191</v>
      </c>
      <c r="B39" s="38">
        <v>840</v>
      </c>
      <c r="C39" s="39">
        <v>244</v>
      </c>
      <c r="D39" s="39">
        <f>D$37*(1+$I39)</f>
        <v>292.8</v>
      </c>
      <c r="E39" s="39">
        <v>82</v>
      </c>
      <c r="F39" s="39">
        <v>82</v>
      </c>
      <c r="G39" s="39">
        <v>82</v>
      </c>
      <c r="H39" s="40">
        <v>82</v>
      </c>
      <c r="I39" s="12">
        <v>0.2</v>
      </c>
    </row>
    <row r="40" spans="1:9">
      <c r="A40" s="4" t="s">
        <v>206</v>
      </c>
      <c r="B40" s="38">
        <v>840</v>
      </c>
      <c r="C40" s="27">
        <f>C$37*(1+$I40/2)</f>
        <v>268.4</v>
      </c>
      <c r="D40" s="39">
        <v>244</v>
      </c>
      <c r="E40" s="39">
        <v>82</v>
      </c>
      <c r="F40" s="39">
        <v>82</v>
      </c>
      <c r="G40" s="39">
        <f>G$37*(1+$I40/2)</f>
        <v>90.2</v>
      </c>
      <c r="H40" s="40">
        <v>82</v>
      </c>
      <c r="I40" s="12">
        <v>0.2</v>
      </c>
    </row>
    <row r="41" spans="1:9">
      <c r="A41" s="4" t="s">
        <v>209</v>
      </c>
      <c r="B41" s="38">
        <v>840</v>
      </c>
      <c r="C41" s="39">
        <v>244</v>
      </c>
      <c r="D41" s="27">
        <f>D$37*(1+$I41/2)</f>
        <v>268.4</v>
      </c>
      <c r="E41" s="39">
        <v>82</v>
      </c>
      <c r="F41" s="39">
        <v>82</v>
      </c>
      <c r="G41" s="39">
        <v>82</v>
      </c>
      <c r="H41" s="40">
        <f>H$37*(1+$I41/2)</f>
        <v>90.2</v>
      </c>
      <c r="I41" s="12">
        <v>0.2</v>
      </c>
    </row>
    <row r="42" spans="1:9">
      <c r="A42" s="4" t="s">
        <v>211</v>
      </c>
      <c r="B42" s="38">
        <v>840</v>
      </c>
      <c r="C42" s="39">
        <v>244</v>
      </c>
      <c r="D42" s="39">
        <v>244</v>
      </c>
      <c r="E42" s="39">
        <v>82</v>
      </c>
      <c r="F42" s="39">
        <v>82</v>
      </c>
      <c r="G42" s="39">
        <f>G$37*(1+$I42)</f>
        <v>98.4</v>
      </c>
      <c r="H42" s="40">
        <v>82</v>
      </c>
      <c r="I42" s="12">
        <v>0.2</v>
      </c>
    </row>
    <row r="43" spans="1:9">
      <c r="A43" s="4" t="s">
        <v>212</v>
      </c>
      <c r="B43" s="35">
        <v>840</v>
      </c>
      <c r="C43" s="36">
        <v>244</v>
      </c>
      <c r="D43" s="36">
        <v>244</v>
      </c>
      <c r="E43" s="36">
        <v>82</v>
      </c>
      <c r="F43" s="36">
        <v>82</v>
      </c>
      <c r="G43" s="36">
        <v>82</v>
      </c>
      <c r="H43" s="37">
        <f>H$37*(1+$I43)</f>
        <v>98.4</v>
      </c>
      <c r="I43" s="12">
        <v>0.2</v>
      </c>
    </row>
    <row r="44" spans="1:9">
      <c r="A44" s="6" t="s">
        <v>234</v>
      </c>
      <c r="B44" s="32">
        <v>1000</v>
      </c>
      <c r="C44" s="33">
        <v>300</v>
      </c>
      <c r="D44" s="33">
        <v>300</v>
      </c>
      <c r="E44" s="33">
        <v>100</v>
      </c>
      <c r="F44" s="33">
        <v>100</v>
      </c>
      <c r="G44" s="33">
        <v>100</v>
      </c>
      <c r="H44" s="34">
        <v>100</v>
      </c>
    </row>
    <row r="45" spans="1:9">
      <c r="A45" s="4" t="s">
        <v>188</v>
      </c>
      <c r="B45" s="26">
        <v>1000</v>
      </c>
      <c r="C45" s="27">
        <f>C$44*(1+$I45)</f>
        <v>360</v>
      </c>
      <c r="D45" s="27">
        <v>300</v>
      </c>
      <c r="E45" s="27">
        <v>100</v>
      </c>
      <c r="F45" s="27">
        <v>100</v>
      </c>
      <c r="G45" s="27">
        <v>100</v>
      </c>
      <c r="H45" s="28">
        <v>100</v>
      </c>
      <c r="I45" s="12">
        <v>0.2</v>
      </c>
    </row>
    <row r="46" spans="1:9">
      <c r="A46" s="4" t="s">
        <v>191</v>
      </c>
      <c r="B46" s="38">
        <v>1000</v>
      </c>
      <c r="C46" s="39">
        <v>300</v>
      </c>
      <c r="D46" s="39">
        <f>D$44*(1+$I46)</f>
        <v>360</v>
      </c>
      <c r="E46" s="39">
        <v>100</v>
      </c>
      <c r="F46" s="39">
        <v>100</v>
      </c>
      <c r="G46" s="39">
        <v>100</v>
      </c>
      <c r="H46" s="40">
        <v>100</v>
      </c>
      <c r="I46" s="12">
        <v>0.2</v>
      </c>
    </row>
    <row r="47" spans="1:9">
      <c r="A47" s="4" t="s">
        <v>206</v>
      </c>
      <c r="B47" s="38">
        <v>1000</v>
      </c>
      <c r="C47" s="27">
        <f>C$44*(1+$I47/2)</f>
        <v>330</v>
      </c>
      <c r="D47" s="39">
        <v>300</v>
      </c>
      <c r="E47" s="39">
        <v>100</v>
      </c>
      <c r="F47" s="39">
        <v>100</v>
      </c>
      <c r="G47" s="39">
        <f>G$44*(1+$I47/2)</f>
        <v>110</v>
      </c>
      <c r="H47" s="40">
        <v>100</v>
      </c>
      <c r="I47" s="12">
        <v>0.2</v>
      </c>
    </row>
    <row r="48" spans="1:9">
      <c r="A48" s="4" t="s">
        <v>209</v>
      </c>
      <c r="B48" s="38">
        <v>1000</v>
      </c>
      <c r="C48" s="39">
        <v>300</v>
      </c>
      <c r="D48" s="27">
        <f>D$44*(1+$I48/2)</f>
        <v>330</v>
      </c>
      <c r="E48" s="39">
        <v>100</v>
      </c>
      <c r="F48" s="39">
        <v>100</v>
      </c>
      <c r="G48" s="39">
        <v>100</v>
      </c>
      <c r="H48" s="40">
        <f>H$44*(1+$I48/2)</f>
        <v>110</v>
      </c>
      <c r="I48" s="12">
        <v>0.2</v>
      </c>
    </row>
    <row r="49" spans="1:9">
      <c r="A49" s="4" t="s">
        <v>211</v>
      </c>
      <c r="B49" s="38">
        <v>1000</v>
      </c>
      <c r="C49" s="39">
        <v>300</v>
      </c>
      <c r="D49" s="39">
        <v>300</v>
      </c>
      <c r="E49" s="39">
        <v>100</v>
      </c>
      <c r="F49" s="39">
        <v>100</v>
      </c>
      <c r="G49" s="39">
        <f>G$44*(1+$I49)</f>
        <v>120</v>
      </c>
      <c r="H49" s="40">
        <v>100</v>
      </c>
      <c r="I49" s="12">
        <v>0.2</v>
      </c>
    </row>
    <row r="50" ht="15.15" spans="1:9">
      <c r="A50" s="41" t="s">
        <v>212</v>
      </c>
      <c r="B50" s="43">
        <v>1000</v>
      </c>
      <c r="C50" s="44">
        <v>300</v>
      </c>
      <c r="D50" s="44">
        <v>300</v>
      </c>
      <c r="E50" s="44">
        <v>100</v>
      </c>
      <c r="F50" s="44">
        <v>100</v>
      </c>
      <c r="G50" s="44">
        <v>100</v>
      </c>
      <c r="H50" s="45">
        <f>H$44*(1+$I50)</f>
        <v>120</v>
      </c>
      <c r="I50" s="12">
        <v>0.2</v>
      </c>
    </row>
    <row r="51" ht="15.15" spans="1:9">
      <c r="A51" s="20"/>
      <c r="B51" s="21" t="s">
        <v>179</v>
      </c>
      <c r="C51" s="21" t="s">
        <v>180</v>
      </c>
      <c r="D51" s="21" t="s">
        <v>181</v>
      </c>
      <c r="E51" s="21" t="s">
        <v>182</v>
      </c>
      <c r="F51" s="21" t="s">
        <v>183</v>
      </c>
      <c r="G51" s="21" t="s">
        <v>184</v>
      </c>
      <c r="H51" s="22" t="s">
        <v>185</v>
      </c>
    </row>
    <row r="52" spans="1:9">
      <c r="A52" s="1" t="s">
        <v>241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</row>
    <row r="53" spans="1:9">
      <c r="A53" s="1" t="s">
        <v>242</v>
      </c>
      <c r="B53">
        <v>8</v>
      </c>
      <c r="C53">
        <v>9</v>
      </c>
      <c r="D53">
        <v>10</v>
      </c>
      <c r="E53">
        <v>11</v>
      </c>
      <c r="F53">
        <v>12</v>
      </c>
      <c r="G53">
        <v>13</v>
      </c>
      <c r="H53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2026-02-27T09:13:37Z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FC3C317CD6414ABB971D19BD3653ADFF_12</vt:lpwstr>
  </property>
  <property fmtid="{D5CDD505-2E9C-101B-9397-08002B2CF9AE}" pid="4" name="CalculationRule">
    <vt:i4>0</vt:i4>
  </property>
</Properties>
</file>